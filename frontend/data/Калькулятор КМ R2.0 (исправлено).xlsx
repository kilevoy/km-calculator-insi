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name="Сроки и стоимость" sheetId="1" state="visible" r:id="rId1"/>
    <sheet name="Атлант, Великан" sheetId="2" state="hidden" r:id="rId2"/>
    <sheet name="Спринт" sheetId="3" state="hidden" r:id="rId3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Tahoma"/>
      <charset val="204"/>
      <family val="2"/>
      <b val="1"/>
      <color indexed="81"/>
      <sz val="9"/>
    </font>
    <font>
      <name val="Calibri"/>
      <family val="2"/>
      <sz val="8"/>
      <scheme val="minor"/>
    </font>
    <font>
      <name val="Segoe UI"/>
      <charset val="204"/>
      <family val="2"/>
      <color rgb="FF000000"/>
      <sz val="8"/>
    </font>
    <font>
      <name val="Calibri"/>
      <family val="2"/>
      <color theme="1"/>
      <sz val="14"/>
      <scheme val="minor"/>
    </font>
    <font>
      <name val="Calibri"/>
      <charset val="204"/>
      <family val="2"/>
      <b val="1"/>
      <color theme="5"/>
      <sz val="14"/>
      <scheme val="minor"/>
    </font>
    <font>
      <name val="Calibri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color theme="1"/>
      <sz val="36"/>
      <scheme val="minor"/>
    </font>
    <font>
      <name val="Calibri"/>
      <charset val="204"/>
      <family val="2"/>
      <color theme="1"/>
      <sz val="11"/>
      <vertAlign val="superscript"/>
      <scheme val="minor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14" fillId="0" borderId="0"/>
    <xf numFmtId="9" fontId="14" fillId="0" borderId="0"/>
  </cellStyleXfs>
  <cellXfs count="172">
    <xf numFmtId="0" fontId="0" fillId="0" borderId="0" pivotButton="0" quotePrefix="0" xfId="0"/>
    <xf numFmtId="0" fontId="0" fillId="2" borderId="0" applyProtection="1" pivotButton="0" quotePrefix="0" xfId="0">
      <protection locked="0" hidden="0"/>
    </xf>
    <xf numFmtId="0" fontId="0" fillId="2" borderId="14" applyProtection="1" pivotButton="0" quotePrefix="0" xfId="0">
      <protection locked="0" hidden="0"/>
    </xf>
    <xf numFmtId="0" fontId="0" fillId="2" borderId="7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2" borderId="5" applyProtection="1" pivotButton="0" quotePrefix="0" xfId="0">
      <protection locked="0" hidden="0"/>
    </xf>
    <xf numFmtId="0" fontId="0" fillId="2" borderId="6" applyProtection="1" pivotButton="0" quotePrefix="0" xfId="0">
      <protection locked="0" hidden="0"/>
    </xf>
    <xf numFmtId="0" fontId="0" fillId="2" borderId="8" applyProtection="1" pivotButton="0" quotePrefix="0" xfId="0">
      <protection locked="0" hidden="0"/>
    </xf>
    <xf numFmtId="0" fontId="0" fillId="2" borderId="9" applyProtection="1" pivotButton="0" quotePrefix="0" xfId="0">
      <protection locked="0" hidden="0"/>
    </xf>
    <xf numFmtId="0" fontId="0" fillId="2" borderId="10" applyProtection="1" pivotButton="0" quotePrefix="0" xfId="0">
      <protection locked="0" hidden="0"/>
    </xf>
    <xf numFmtId="0" fontId="0" fillId="2" borderId="11" applyProtection="1" pivotButton="0" quotePrefix="0" xfId="0">
      <protection locked="0" hidden="0"/>
    </xf>
    <xf numFmtId="0" fontId="0" fillId="3" borderId="1" applyProtection="1" pivotButton="0" quotePrefix="0" xfId="0">
      <protection locked="1" hidden="1"/>
    </xf>
    <xf numFmtId="0" fontId="0" fillId="4" borderId="2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4" borderId="0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Alignment="1" applyProtection="1" pivotButton="0" quotePrefix="0" xfId="0">
      <alignment horizontal="right"/>
      <protection locked="1" hidden="1"/>
    </xf>
    <xf numFmtId="0" fontId="0" fillId="0" borderId="11" applyProtection="1" pivotButton="0" quotePrefix="0" xfId="0">
      <protection locked="1" hidden="1"/>
    </xf>
    <xf numFmtId="0" fontId="0" fillId="5" borderId="4" applyProtection="1" pivotButton="0" quotePrefix="0" xfId="0">
      <protection locked="1" hidden="1"/>
    </xf>
    <xf numFmtId="0" fontId="0" fillId="6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3" borderId="1" applyAlignment="1" applyProtection="1" pivotButton="0" quotePrefix="0" xfId="0">
      <alignment horizontal="left"/>
      <protection locked="1" hidden="1"/>
    </xf>
    <xf numFmtId="0" fontId="0" fillId="0" borderId="3" applyAlignment="1" applyProtection="1" pivotButton="0" quotePrefix="0" xfId="0">
      <alignment horizontal="left"/>
      <protection locked="1" hidden="1"/>
    </xf>
    <xf numFmtId="0" fontId="0" fillId="0" borderId="0" applyAlignment="1" applyProtection="1" pivotButton="0" quotePrefix="0" xfId="0">
      <alignment horizontal="right"/>
      <protection locked="1" hidden="1"/>
    </xf>
    <xf numFmtId="0" fontId="0" fillId="7" borderId="7" applyProtection="1" pivotButton="0" quotePrefix="0" xfId="0">
      <protection locked="1" hidden="1"/>
    </xf>
    <xf numFmtId="0" fontId="0" fillId="8" borderId="7" applyProtection="1" pivotButton="0" quotePrefix="0" xfId="0">
      <protection locked="1" hidden="1"/>
    </xf>
    <xf numFmtId="0" fontId="0" fillId="9" borderId="7" applyProtection="1" pivotButton="0" quotePrefix="0" xfId="0">
      <protection locked="1" hidden="1"/>
    </xf>
    <xf numFmtId="0" fontId="0" fillId="10" borderId="7" applyProtection="1" pivotButton="0" quotePrefix="0" xfId="0">
      <protection locked="1" hidden="1"/>
    </xf>
    <xf numFmtId="0" fontId="0" fillId="10" borderId="9" applyProtection="1" pivotButton="0" quotePrefix="0" xfId="0">
      <protection locked="1" hidden="1"/>
    </xf>
    <xf numFmtId="0" fontId="0" fillId="5" borderId="7" applyProtection="1" pivotButton="0" quotePrefix="0" xfId="0">
      <protection locked="1" hidden="1"/>
    </xf>
    <xf numFmtId="0" fontId="0" fillId="6" borderId="7" applyProtection="1" pivotButton="0" quotePrefix="0" xfId="0">
      <protection locked="1" hidden="1"/>
    </xf>
    <xf numFmtId="0" fontId="8" fillId="0" borderId="3" applyAlignment="1" applyProtection="1" pivotButton="0" quotePrefix="0" xfId="0">
      <alignment horizontal="left"/>
      <protection locked="1" hidden="1"/>
    </xf>
    <xf numFmtId="0" fontId="0" fillId="4" borderId="8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3" borderId="12" applyAlignment="1" applyProtection="1" pivotButton="0" quotePrefix="0" xfId="0">
      <alignment horizontal="left"/>
      <protection locked="1" hidden="1"/>
    </xf>
    <xf numFmtId="0" fontId="0" fillId="7" borderId="5" applyProtection="1" pivotButton="0" quotePrefix="0" xfId="0">
      <protection locked="1" hidden="1"/>
    </xf>
    <xf numFmtId="0" fontId="0" fillId="7" borderId="6" applyProtection="1" pivotButton="0" quotePrefix="0" xfId="0">
      <protection locked="1" hidden="1"/>
    </xf>
    <xf numFmtId="0" fontId="0" fillId="4" borderId="5" applyProtection="1" pivotButton="0" quotePrefix="0" xfId="0">
      <protection locked="1" hidden="1"/>
    </xf>
    <xf numFmtId="0" fontId="0" fillId="4" borderId="6" applyProtection="1" pivotButton="0" quotePrefix="0" xfId="0">
      <protection locked="1" hidden="1"/>
    </xf>
    <xf numFmtId="0" fontId="0" fillId="7" borderId="0" applyProtection="1" pivotButton="0" quotePrefix="0" xfId="0">
      <protection locked="1" hidden="1"/>
    </xf>
    <xf numFmtId="0" fontId="0" fillId="7" borderId="8" applyProtection="1" pivotButton="0" quotePrefix="0" xfId="0">
      <protection locked="1" hidden="1"/>
    </xf>
    <xf numFmtId="0" fontId="0" fillId="4" borderId="10" applyAlignment="1" applyProtection="1" pivotButton="0" quotePrefix="0" xfId="0">
      <alignment horizontal="right"/>
      <protection locked="1" hidden="1"/>
    </xf>
    <xf numFmtId="0" fontId="0" fillId="4" borderId="11" applyProtection="1" pivotButton="0" quotePrefix="0" xfId="0">
      <protection locked="1" hidden="1"/>
    </xf>
    <xf numFmtId="0" fontId="0" fillId="7" borderId="9" applyProtection="1" pivotButton="0" quotePrefix="0" xfId="0">
      <protection locked="1" hidden="1"/>
    </xf>
    <xf numFmtId="0" fontId="0" fillId="7" borderId="10" applyProtection="1" pivotButton="0" quotePrefix="0" xfId="0">
      <protection locked="1" hidden="1"/>
    </xf>
    <xf numFmtId="0" fontId="0" fillId="7" borderId="11" applyProtection="1" pivotButton="0" quotePrefix="0" xfId="0">
      <protection locked="1" hidden="1"/>
    </xf>
    <xf numFmtId="0" fontId="0" fillId="3" borderId="13" applyAlignment="1" applyProtection="1" pivotButton="0" quotePrefix="0" xfId="0">
      <alignment horizontal="left"/>
      <protection locked="1" hidden="1"/>
    </xf>
    <xf numFmtId="0" fontId="0" fillId="4" borderId="10" applyProtection="1" pivotButton="0" quotePrefix="0" xfId="0">
      <protection locked="1" hidden="1"/>
    </xf>
    <xf numFmtId="0" fontId="0" fillId="4" borderId="1" applyProtection="1" pivotButton="0" quotePrefix="0" xfId="0">
      <protection locked="1" hidden="1"/>
    </xf>
    <xf numFmtId="0" fontId="0" fillId="4" borderId="3" applyProtection="1" pivotButton="0" quotePrefix="0" xfId="0">
      <protection locked="1" hidden="1"/>
    </xf>
    <xf numFmtId="0" fontId="0" fillId="4" borderId="4" applyProtection="1" pivotButton="0" quotePrefix="0" xfId="0">
      <protection locked="1" hidden="1"/>
    </xf>
    <xf numFmtId="0" fontId="0" fillId="4" borderId="7" applyProtection="1" pivotButton="0" quotePrefix="0" xfId="0">
      <protection locked="1" hidden="1"/>
    </xf>
    <xf numFmtId="0" fontId="0" fillId="4" borderId="9" applyProtection="1" pivotButton="0" quotePrefix="0" xfId="0">
      <protection locked="1" hidden="1"/>
    </xf>
    <xf numFmtId="0" fontId="0" fillId="3" borderId="2" applyProtection="1" pivotButton="0" quotePrefix="0" xfId="0">
      <protection locked="1" hidden="1"/>
    </xf>
    <xf numFmtId="0" fontId="0" fillId="3" borderId="3" applyProtection="1" pivotButton="0" quotePrefix="0" xfId="0">
      <protection locked="1" hidden="1"/>
    </xf>
    <xf numFmtId="1" fontId="0" fillId="0" borderId="0" applyProtection="1" pivotButton="0" quotePrefix="0" xfId="0">
      <protection locked="1" hidden="1"/>
    </xf>
    <xf numFmtId="0" fontId="0" fillId="2" borderId="0" applyProtection="1" pivotButton="0" quotePrefix="0" xfId="0">
      <protection locked="1" hidden="1"/>
    </xf>
    <xf numFmtId="0" fontId="0" fillId="2" borderId="14" applyAlignment="1" applyProtection="1" pivotButton="0" quotePrefix="0" xfId="0">
      <alignment wrapText="1"/>
      <protection locked="1" hidden="1"/>
    </xf>
    <xf numFmtId="0" fontId="0" fillId="2" borderId="14" applyProtection="1" pivotButton="0" quotePrefix="0" xfId="0">
      <protection locked="1" hidden="1"/>
    </xf>
    <xf numFmtId="0" fontId="0" fillId="2" borderId="16" applyProtection="1" pivotButton="0" quotePrefix="0" xfId="0">
      <protection locked="1" hidden="1"/>
    </xf>
    <xf numFmtId="0" fontId="0" fillId="2" borderId="17" applyProtection="1" pivotButton="0" quotePrefix="0" xfId="0">
      <protection locked="1" hidden="1"/>
    </xf>
    <xf numFmtId="0" fontId="0" fillId="2" borderId="25" applyProtection="1" pivotButton="0" quotePrefix="0" xfId="0">
      <protection locked="1" hidden="1"/>
    </xf>
    <xf numFmtId="0" fontId="0" fillId="4" borderId="14" applyProtection="1" pivotButton="0" quotePrefix="0" xfId="0">
      <protection locked="1" hidden="1"/>
    </xf>
    <xf numFmtId="0" fontId="0" fillId="2" borderId="18" applyProtection="1" pivotButton="0" quotePrefix="0" xfId="0">
      <protection locked="1" hidden="1"/>
    </xf>
    <xf numFmtId="0" fontId="0" fillId="2" borderId="19" applyProtection="1" pivotButton="0" quotePrefix="0" xfId="0">
      <protection locked="1" hidden="1"/>
    </xf>
    <xf numFmtId="0" fontId="0" fillId="2" borderId="20" applyProtection="1" pivotButton="0" quotePrefix="0" xfId="0">
      <protection locked="1" hidden="1"/>
    </xf>
    <xf numFmtId="0" fontId="0" fillId="2" borderId="7" applyProtection="1" pivotButton="0" quotePrefix="0" xfId="0">
      <protection locked="1" hidden="1"/>
    </xf>
    <xf numFmtId="0" fontId="0" fillId="2" borderId="15" applyProtection="1" pivotButton="0" quotePrefix="0" xfId="0">
      <protection locked="1" hidden="1"/>
    </xf>
    <xf numFmtId="0" fontId="7" fillId="2" borderId="14" applyProtection="1" pivotButton="0" quotePrefix="0" xfId="0">
      <protection locked="1" hidden="1"/>
    </xf>
    <xf numFmtId="0" fontId="0" fillId="2" borderId="0" applyAlignment="1" applyProtection="1" pivotButton="0" quotePrefix="0" xfId="0">
      <alignment horizontal="right"/>
      <protection locked="1" hidden="1"/>
    </xf>
    <xf numFmtId="0" fontId="0" fillId="2" borderId="8" applyProtection="1" pivotButton="0" quotePrefix="0" xfId="0">
      <protection locked="1" hidden="1"/>
    </xf>
    <xf numFmtId="0" fontId="5" fillId="2" borderId="29" applyProtection="1" pivotButton="0" quotePrefix="0" xfId="0">
      <protection locked="1" hidden="1"/>
    </xf>
    <xf numFmtId="0" fontId="5" fillId="2" borderId="29" applyAlignment="1" applyProtection="1" pivotButton="0" quotePrefix="0" xfId="0">
      <alignment horizontal="left"/>
      <protection locked="1" hidden="1"/>
    </xf>
    <xf numFmtId="0" fontId="5" fillId="2" borderId="8" applyAlignment="1" applyProtection="1" pivotButton="0" quotePrefix="0" xfId="0">
      <alignment horizontal="left"/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0" fillId="2" borderId="26" applyProtection="1" pivotButton="0" quotePrefix="0" xfId="0">
      <protection locked="0" hidden="0"/>
    </xf>
    <xf numFmtId="0" fontId="0" fillId="2" borderId="27" applyProtection="1" pivotButton="0" quotePrefix="0" xfId="0">
      <protection locked="0" hidden="0"/>
    </xf>
    <xf numFmtId="0" fontId="0" fillId="2" borderId="28" applyProtection="1" pivotButton="0" quotePrefix="0" xfId="0">
      <protection locked="0" hidden="0"/>
    </xf>
    <xf numFmtId="0" fontId="0" fillId="2" borderId="22" applyProtection="1" pivotButton="0" quotePrefix="0" xfId="0">
      <protection locked="0" hidden="0"/>
    </xf>
    <xf numFmtId="0" fontId="0" fillId="2" borderId="21" applyProtection="1" pivotButton="0" quotePrefix="0" xfId="0">
      <protection locked="0" hidden="0"/>
    </xf>
    <xf numFmtId="0" fontId="0" fillId="2" borderId="23" applyProtection="1" pivotButton="0" quotePrefix="0" xfId="0">
      <protection locked="0" hidden="0"/>
    </xf>
    <xf numFmtId="0" fontId="0" fillId="2" borderId="24" applyProtection="1" pivotButton="0" quotePrefix="0" xfId="0">
      <protection locked="0" hidden="0"/>
    </xf>
    <xf numFmtId="1" fontId="0" fillId="2" borderId="14" applyProtection="1" pivotButton="0" quotePrefix="0" xfId="0">
      <protection locked="0" hidden="0"/>
    </xf>
    <xf numFmtId="0" fontId="5" fillId="2" borderId="29" applyAlignment="1" applyProtection="1" pivotButton="0" quotePrefix="0" xfId="0">
      <alignment horizontal="right"/>
      <protection locked="1" hidden="1"/>
    </xf>
    <xf numFmtId="0" fontId="0" fillId="3" borderId="12" applyAlignment="1" applyProtection="1" pivotButton="0" quotePrefix="0" xfId="0">
      <alignment wrapText="1"/>
      <protection locked="1" hidden="1"/>
    </xf>
    <xf numFmtId="0" fontId="0" fillId="3" borderId="13" applyAlignment="1" applyProtection="1" pivotButton="0" quotePrefix="0" xfId="0">
      <alignment wrapText="1"/>
      <protection locked="1" hidden="1"/>
    </xf>
    <xf numFmtId="0" fontId="0" fillId="4" borderId="0" applyAlignment="1" applyProtection="1" pivotButton="0" quotePrefix="0" xfId="0">
      <alignment horizontal="right"/>
      <protection locked="1" hidden="1"/>
    </xf>
    <xf numFmtId="0" fontId="8" fillId="2" borderId="14" applyProtection="1" pivotButton="0" quotePrefix="0" xfId="0">
      <protection locked="0" hidden="0"/>
    </xf>
    <xf numFmtId="9" fontId="0" fillId="2" borderId="0" applyAlignment="1" applyProtection="1" pivotButton="0" quotePrefix="0" xfId="1">
      <alignment horizontal="left"/>
      <protection locked="1" hidden="1"/>
    </xf>
    <xf numFmtId="0" fontId="0" fillId="2" borderId="0" applyAlignment="1" applyProtection="1" pivotButton="0" quotePrefix="0" xfId="0">
      <alignment horizontal="right"/>
      <protection locked="1" hidden="1"/>
    </xf>
    <xf numFmtId="0" fontId="6" fillId="2" borderId="29" applyAlignment="1" applyProtection="1" pivotButton="0" quotePrefix="0" xfId="0">
      <alignment horizontal="center"/>
      <protection locked="1" hidden="1"/>
    </xf>
    <xf numFmtId="1" fontId="6" fillId="2" borderId="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0">
      <alignment horizontal="right"/>
      <protection locked="1" hidden="1"/>
    </xf>
    <xf numFmtId="0" fontId="0" fillId="2" borderId="16" applyAlignment="1" applyProtection="1" pivotButton="0" quotePrefix="0" xfId="0">
      <alignment horizontal="center" vertical="center" wrapText="1"/>
      <protection locked="1" hidden="1"/>
    </xf>
    <xf numFmtId="0" fontId="0" fillId="2" borderId="17" applyAlignment="1" applyProtection="1" pivotButton="0" quotePrefix="0" xfId="0">
      <alignment horizontal="center" vertical="center" wrapText="1"/>
      <protection locked="1" hidden="1"/>
    </xf>
    <xf numFmtId="0" fontId="0" fillId="2" borderId="26" applyAlignment="1" applyProtection="1" pivotButton="0" quotePrefix="0" xfId="0">
      <alignment horizontal="center" vertical="center" wrapText="1"/>
      <protection locked="1" hidden="1"/>
    </xf>
    <xf numFmtId="0" fontId="0" fillId="2" borderId="18" applyAlignment="1" applyProtection="1" pivotButton="0" quotePrefix="0" xfId="0">
      <alignment horizontal="center" vertical="center" wrapText="1"/>
      <protection locked="1" hidden="1"/>
    </xf>
    <xf numFmtId="0" fontId="0" fillId="2" borderId="14" applyAlignment="1" applyProtection="1" pivotButton="0" quotePrefix="0" xfId="0">
      <alignment horizontal="center" vertical="center" wrapText="1"/>
      <protection locked="1" hidden="1"/>
    </xf>
    <xf numFmtId="0" fontId="0" fillId="2" borderId="27" applyAlignment="1" applyProtection="1" pivotButton="0" quotePrefix="0" xfId="0">
      <alignment horizontal="center" vertical="center" wrapText="1"/>
      <protection locked="1" hidden="1"/>
    </xf>
    <xf numFmtId="0" fontId="0" fillId="2" borderId="19" applyAlignment="1" applyProtection="1" pivotButton="0" quotePrefix="0" xfId="0">
      <alignment horizontal="center" vertical="center" wrapText="1"/>
      <protection locked="1" hidden="1"/>
    </xf>
    <xf numFmtId="0" fontId="0" fillId="2" borderId="20" applyAlignment="1" applyProtection="1" pivotButton="0" quotePrefix="0" xfId="0">
      <alignment horizontal="center" vertical="center" wrapText="1"/>
      <protection locked="1" hidden="1"/>
    </xf>
    <xf numFmtId="0" fontId="0" fillId="2" borderId="28" applyAlignment="1" applyProtection="1" pivotButton="0" quotePrefix="0" xfId="0">
      <alignment horizontal="center" vertical="center" wrapText="1"/>
      <protection locked="1" hidden="1"/>
    </xf>
    <xf numFmtId="0" fontId="0" fillId="2" borderId="16" applyAlignment="1" applyProtection="1" pivotButton="0" quotePrefix="0" xfId="0">
      <alignment horizontal="center" wrapText="1"/>
      <protection locked="1" hidden="1"/>
    </xf>
    <xf numFmtId="0" fontId="0" fillId="2" borderId="17" applyAlignment="1" applyProtection="1" pivotButton="0" quotePrefix="0" xfId="0">
      <alignment horizontal="center" wrapText="1"/>
      <protection locked="1" hidden="1"/>
    </xf>
    <xf numFmtId="0" fontId="0" fillId="2" borderId="26" applyAlignment="1" applyProtection="1" pivotButton="0" quotePrefix="0" xfId="0">
      <alignment horizontal="center" wrapText="1"/>
      <protection locked="1" hidden="1"/>
    </xf>
    <xf numFmtId="0" fontId="0" fillId="2" borderId="18" applyAlignment="1" applyProtection="1" pivotButton="0" quotePrefix="0" xfId="0">
      <alignment horizontal="center" wrapText="1"/>
      <protection locked="1" hidden="1"/>
    </xf>
    <xf numFmtId="0" fontId="0" fillId="2" borderId="14" applyAlignment="1" applyProtection="1" pivotButton="0" quotePrefix="0" xfId="0">
      <alignment horizontal="center" wrapText="1"/>
      <protection locked="1" hidden="1"/>
    </xf>
    <xf numFmtId="0" fontId="0" fillId="2" borderId="27" applyAlignment="1" applyProtection="1" pivotButton="0" quotePrefix="0" xfId="0">
      <alignment horizontal="center" wrapText="1"/>
      <protection locked="1" hidden="1"/>
    </xf>
    <xf numFmtId="0" fontId="0" fillId="2" borderId="19" applyAlignment="1" applyProtection="1" pivotButton="0" quotePrefix="0" xfId="0">
      <alignment horizontal="center" wrapText="1"/>
      <protection locked="1" hidden="1"/>
    </xf>
    <xf numFmtId="0" fontId="0" fillId="2" borderId="20" applyAlignment="1" applyProtection="1" pivotButton="0" quotePrefix="0" xfId="0">
      <alignment horizontal="center" wrapText="1"/>
      <protection locked="1" hidden="1"/>
    </xf>
    <xf numFmtId="0" fontId="0" fillId="2" borderId="28" applyAlignment="1" applyProtection="1" pivotButton="0" quotePrefix="0" xfId="0">
      <alignment horizontal="center" wrapText="1"/>
      <protection locked="1" hidden="1"/>
    </xf>
    <xf numFmtId="0" fontId="0" fillId="2" borderId="30" applyAlignment="1" applyProtection="1" pivotButton="0" quotePrefix="0" xfId="0">
      <alignment horizontal="center" wrapText="1"/>
      <protection locked="1" hidden="1"/>
    </xf>
    <xf numFmtId="0" fontId="0" fillId="2" borderId="25" applyAlignment="1" applyProtection="1" pivotButton="0" quotePrefix="0" xfId="0">
      <alignment horizontal="center" wrapText="1"/>
      <protection locked="1" hidden="1"/>
    </xf>
    <xf numFmtId="0" fontId="0" fillId="2" borderId="31" applyAlignment="1" applyProtection="1" pivotButton="0" quotePrefix="0" xfId="0">
      <alignment horizontal="center" wrapText="1"/>
      <protection locked="1" hidden="1"/>
    </xf>
    <xf numFmtId="164" fontId="0" fillId="2" borderId="34" applyAlignment="1" applyProtection="1" pivotButton="0" quotePrefix="0" xfId="0">
      <alignment horizontal="center"/>
      <protection locked="1" hidden="1"/>
    </xf>
    <xf numFmtId="164" fontId="0" fillId="2" borderId="35" applyAlignment="1" applyProtection="1" pivotButton="0" quotePrefix="0" xfId="0">
      <alignment horizontal="center"/>
      <protection locked="1" hidden="1"/>
    </xf>
    <xf numFmtId="164" fontId="0" fillId="2" borderId="36" applyAlignment="1" applyProtection="1" pivotButton="0" quotePrefix="0" xfId="0">
      <alignment horizontal="center"/>
      <protection locked="1" hidden="1"/>
    </xf>
    <xf numFmtId="0" fontId="0" fillId="2" borderId="18" applyAlignment="1" applyProtection="1" pivotButton="0" quotePrefix="0" xfId="0">
      <alignment horizontal="center"/>
      <protection locked="1" hidden="1"/>
    </xf>
    <xf numFmtId="0" fontId="0" fillId="2" borderId="14" applyAlignment="1" applyProtection="1" pivotButton="0" quotePrefix="0" xfId="0">
      <alignment horizontal="center"/>
      <protection locked="1" hidden="1"/>
    </xf>
    <xf numFmtId="0" fontId="0" fillId="2" borderId="27" applyAlignment="1" applyProtection="1" pivotButton="0" quotePrefix="0" xfId="0">
      <alignment horizontal="center"/>
      <protection locked="1" hidden="1"/>
    </xf>
    <xf numFmtId="0" fontId="0" fillId="2" borderId="18" applyAlignment="1" applyProtection="1" pivotButton="0" quotePrefix="0" xfId="0">
      <alignment horizontal="center"/>
      <protection locked="0" hidden="0"/>
    </xf>
    <xf numFmtId="0" fontId="0" fillId="2" borderId="14" applyAlignment="1" applyProtection="1" pivotButton="0" quotePrefix="0" xfId="0">
      <alignment horizontal="center"/>
      <protection locked="0" hidden="0"/>
    </xf>
    <xf numFmtId="0" fontId="0" fillId="2" borderId="27" applyAlignment="1" applyProtection="1" pivotButton="0" quotePrefix="0" xfId="0">
      <alignment horizontal="center"/>
      <protection locked="0" hidden="0"/>
    </xf>
    <xf numFmtId="0" fontId="0" fillId="2" borderId="19" applyAlignment="1" applyProtection="1" pivotButton="0" quotePrefix="0" xfId="0">
      <alignment horizontal="center"/>
      <protection locked="1" hidden="1"/>
    </xf>
    <xf numFmtId="0" fontId="0" fillId="2" borderId="20" applyAlignment="1" applyProtection="1" pivotButton="0" quotePrefix="0" xfId="0">
      <alignment horizontal="center"/>
      <protection locked="1" hidden="1"/>
    </xf>
    <xf numFmtId="0" fontId="0" fillId="2" borderId="28" applyAlignment="1" applyProtection="1" pivotButton="0" quotePrefix="0" xfId="0">
      <alignment horizontal="center"/>
      <protection locked="1" hidden="1"/>
    </xf>
    <xf numFmtId="0" fontId="0" fillId="2" borderId="19" applyAlignment="1" applyProtection="1" pivotButton="0" quotePrefix="0" xfId="0">
      <alignment horizontal="center"/>
      <protection locked="0" hidden="0"/>
    </xf>
    <xf numFmtId="0" fontId="0" fillId="2" borderId="20" applyAlignment="1" applyProtection="1" pivotButton="0" quotePrefix="0" xfId="0">
      <alignment horizontal="center"/>
      <protection locked="0" hidden="0"/>
    </xf>
    <xf numFmtId="0" fontId="0" fillId="2" borderId="28" applyAlignment="1" applyProtection="1" pivotButton="0" quotePrefix="0" xfId="0">
      <alignment horizontal="center"/>
      <protection locked="0" hidden="0"/>
    </xf>
    <xf numFmtId="164" fontId="0" fillId="2" borderId="32" applyAlignment="1" applyProtection="1" pivotButton="0" quotePrefix="0" xfId="0">
      <alignment horizontal="center"/>
      <protection locked="1" hidden="1"/>
    </xf>
    <xf numFmtId="164" fontId="0" fillId="2" borderId="15" applyAlignment="1" applyProtection="1" pivotButton="0" quotePrefix="0" xfId="0">
      <alignment horizontal="center"/>
      <protection locked="1" hidden="1"/>
    </xf>
    <xf numFmtId="164" fontId="0" fillId="2" borderId="33" applyAlignment="1" applyProtection="1" pivotButton="0" quotePrefix="0" xfId="0">
      <alignment horizontal="center"/>
      <protection locked="1" hidden="1"/>
    </xf>
    <xf numFmtId="164" fontId="0" fillId="2" borderId="16" applyAlignment="1" applyProtection="1" pivotButton="0" quotePrefix="0" xfId="0">
      <alignment horizontal="center"/>
      <protection locked="1" hidden="1"/>
    </xf>
    <xf numFmtId="164" fontId="0" fillId="2" borderId="17" applyAlignment="1" applyProtection="1" pivotButton="0" quotePrefix="0" xfId="0">
      <alignment horizontal="center"/>
      <protection locked="1" hidden="1"/>
    </xf>
    <xf numFmtId="164" fontId="0" fillId="2" borderId="26" applyAlignment="1" applyProtection="1" pivotButton="0" quotePrefix="0" xfId="0">
      <alignment horizontal="center"/>
      <protection locked="1" hidden="1"/>
    </xf>
    <xf numFmtId="164" fontId="0" fillId="0" borderId="32" applyAlignment="1" applyProtection="1" pivotButton="0" quotePrefix="0" xfId="0">
      <alignment horizontal="center"/>
      <protection locked="1" hidden="1"/>
    </xf>
    <xf numFmtId="164" fontId="0" fillId="0" borderId="15" applyAlignment="1" applyProtection="1" pivotButton="0" quotePrefix="0" xfId="0">
      <alignment horizontal="center"/>
      <protection locked="1" hidden="1"/>
    </xf>
    <xf numFmtId="164" fontId="0" fillId="0" borderId="33" applyAlignment="1" applyProtection="1" pivotButton="0" quotePrefix="0" xfId="0">
      <alignment horizontal="center"/>
      <protection locked="1" hidden="1"/>
    </xf>
    <xf numFmtId="0" fontId="0" fillId="2" borderId="32" applyAlignment="1" applyProtection="1" pivotButton="0" quotePrefix="0" xfId="0">
      <alignment horizontal="center"/>
      <protection locked="0" hidden="0"/>
    </xf>
    <xf numFmtId="0" fontId="0" fillId="2" borderId="15" applyAlignment="1" applyProtection="1" pivotButton="0" quotePrefix="0" xfId="0">
      <alignment horizontal="center"/>
      <protection locked="0" hidden="0"/>
    </xf>
    <xf numFmtId="0" fontId="0" fillId="2" borderId="33" applyAlignment="1" applyProtection="1" pivotButton="0" quotePrefix="0" xfId="0">
      <alignment horizontal="center"/>
      <protection locked="0" hidden="0"/>
    </xf>
    <xf numFmtId="0" fontId="0" fillId="2" borderId="32" applyAlignment="1" applyProtection="1" pivotButton="0" quotePrefix="0" xfId="0">
      <alignment horizontal="center"/>
      <protection locked="1" hidden="1"/>
    </xf>
    <xf numFmtId="0" fontId="0" fillId="2" borderId="15" applyAlignment="1" applyProtection="1" pivotButton="0" quotePrefix="0" xfId="0">
      <alignment horizontal="center"/>
      <protection locked="1" hidden="1"/>
    </xf>
    <xf numFmtId="0" fontId="0" fillId="2" borderId="33" applyAlignment="1" applyProtection="1" pivotButton="0" quotePrefix="0" xfId="0">
      <alignment horizontal="center"/>
      <protection locked="1" hidden="1"/>
    </xf>
    <xf numFmtId="0" fontId="12" fillId="0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42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43" applyProtection="1" pivotButton="0" quotePrefix="0" xfId="0">
      <protection locked="1" hidden="1"/>
    </xf>
    <xf numFmtId="0" fontId="0" fillId="0" borderId="29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1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39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45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44" applyProtection="1" pivotButton="0" quotePrefix="0" xfId="0">
      <protection locked="1" hidden="1"/>
    </xf>
  </cellXfs>
  <cellStyles count="2">
    <cellStyle name="Обычный" xfId="0" builtinId="0"/>
    <cellStyle name="Процентный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A164" authorId="0" shapeId="0">
      <text>
        <t>подумать над тем как сейсмика будет влиять на одно и многопролетные каркасы - КАКОЙ ВКЛАД?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9"/>
  <sheetViews>
    <sheetView tabSelected="1" zoomScale="85" zoomScaleNormal="85" workbookViewId="0">
      <selection activeCell="CG29" sqref="CG29"/>
    </sheetView>
  </sheetViews>
  <sheetFormatPr baseColWidth="8" defaultRowHeight="15"/>
  <cols>
    <col width="14.28515625" customWidth="1" style="1" min="1" max="1"/>
    <col width="4.7109375" customWidth="1" style="1" min="2" max="2"/>
    <col width="2.28515625" customWidth="1" style="1" min="3" max="3"/>
    <col width="4.7109375" customWidth="1" style="1" min="4" max="4"/>
    <col width="2.42578125" customWidth="1" style="1" min="5" max="5"/>
    <col width="4.7109375" customWidth="1" style="1" min="6" max="6"/>
    <col width="2.42578125" customWidth="1" style="1" min="7" max="7"/>
    <col width="4.7109375" customWidth="1" style="1" min="8" max="8"/>
    <col width="2.42578125" customWidth="1" style="1" min="9" max="9"/>
    <col width="4.7109375" customWidth="1" style="1" min="10" max="11"/>
    <col width="3.140625" customWidth="1" style="1" min="12" max="12"/>
    <col width="4.7109375" customWidth="1" style="1" min="13" max="18"/>
    <col width="3.5703125" customWidth="1" style="1" min="19" max="19"/>
    <col width="4.7109375" customWidth="1" style="1" min="20" max="21"/>
    <col width="6.140625" customWidth="1" style="1" min="22" max="22"/>
    <col width="4.7109375" customWidth="1" style="1" min="23" max="35"/>
    <col hidden="1" width="9.140625" customWidth="1" style="1" min="36" max="36"/>
    <col hidden="1" width="28.5703125" customWidth="1" style="64" min="37" max="37"/>
    <col hidden="1" width="40.140625" customWidth="1" style="64" min="38" max="38"/>
    <col hidden="1" width="9.140625" customWidth="1" style="64" min="39" max="40"/>
    <col hidden="1" width="12.85546875" customWidth="1" style="64" min="41" max="43"/>
    <col hidden="1" width="13.85546875" customWidth="1" style="64" min="44" max="44"/>
    <col hidden="1" width="13.140625" customWidth="1" style="64" min="45" max="45"/>
    <col hidden="1" width="13.7109375" customWidth="1" style="64" min="46" max="46"/>
    <col hidden="1" width="10.85546875" customWidth="1" style="64" min="47" max="47"/>
    <col hidden="1" width="13.7109375" customWidth="1" style="64" min="48" max="48"/>
    <col hidden="1" width="14" customWidth="1" style="64" min="49" max="49"/>
    <col hidden="1" width="14.42578125" customWidth="1" style="64" min="50" max="50"/>
    <col hidden="1" width="10.140625" customWidth="1" style="64" min="51" max="51"/>
    <col hidden="1" width="13.5703125" customWidth="1" style="64" min="52" max="52"/>
    <col hidden="1" width="16.42578125" customWidth="1" style="64" min="53" max="53"/>
    <col hidden="1" width="14.140625" customWidth="1" style="64" min="54" max="54"/>
    <col hidden="1" width="12" customWidth="1" style="64" min="55" max="55"/>
    <col hidden="1" width="13.42578125" customWidth="1" style="64" min="56" max="56"/>
    <col hidden="1" width="13.85546875" customWidth="1" style="64" min="57" max="57"/>
    <col hidden="1" width="13.140625" customWidth="1" style="64" min="58" max="58"/>
    <col hidden="1" width="9.140625" customWidth="1" style="1" min="59" max="59"/>
    <col hidden="1" width="28.5703125" customWidth="1" style="1" min="60" max="60"/>
    <col hidden="1" width="40.140625" customWidth="1" style="1" min="61" max="61"/>
    <col hidden="1" width="9.140625" customWidth="1" style="1" min="62" max="63"/>
    <col hidden="1" width="12.85546875" customWidth="1" style="1" min="64" max="66"/>
    <col hidden="1" width="13.85546875" customWidth="1" style="1" min="67" max="67"/>
    <col hidden="1" width="13.140625" customWidth="1" style="1" min="68" max="68"/>
    <col hidden="1" width="13.7109375" customWidth="1" style="1" min="69" max="69"/>
    <col hidden="1" width="10.85546875" customWidth="1" style="1" min="70" max="70"/>
    <col hidden="1" width="13.7109375" customWidth="1" style="1" min="71" max="71"/>
    <col hidden="1" width="14" customWidth="1" style="1" min="72" max="72"/>
    <col hidden="1" width="14.42578125" customWidth="1" style="1" min="73" max="73"/>
    <col hidden="1" width="10.140625" customWidth="1" style="1" min="74" max="74"/>
    <col hidden="1" width="13.5703125" customWidth="1" style="1" min="75" max="75"/>
    <col hidden="1" width="16.42578125" customWidth="1" style="1" min="76" max="76"/>
    <col hidden="1" width="14.140625" customWidth="1" style="1" min="77" max="77"/>
    <col hidden="1" width="12" customWidth="1" style="1" min="78" max="78"/>
    <col hidden="1" width="13.42578125" customWidth="1" style="1" min="79" max="79"/>
    <col hidden="1" width="13.85546875" customWidth="1" style="1" min="80" max="80"/>
    <col hidden="1" width="13.140625" customWidth="1" style="1" min="81" max="81"/>
    <col hidden="1" style="1" min="82" max="82"/>
    <col width="9.140625" customWidth="1" style="1" min="83" max="16384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5.75" customHeight="1" thickBot="1">
      <c r="A2" s="3" t="n"/>
      <c r="P2" s="97" t="inlineStr">
        <is>
          <t>Издержки (аренда, налоги и т.д.):</t>
        </is>
      </c>
      <c r="Q2" s="16" t="n"/>
      <c r="R2" s="16" t="n"/>
      <c r="S2" s="16" t="n"/>
      <c r="T2" s="16" t="n"/>
      <c r="U2" s="16" t="n"/>
      <c r="V2" s="16" t="n"/>
      <c r="W2" s="16" t="n"/>
      <c r="X2" s="96" t="n">
        <v>0</v>
      </c>
    </row>
    <row r="3" hidden="1" ht="45" customHeight="1">
      <c r="A3" s="3" t="n"/>
      <c r="AL3" s="64" t="inlineStr">
        <is>
          <t>площадь</t>
        </is>
      </c>
      <c r="AM3" s="64">
        <f>B38*'Атлант, Великан'!M127+IF(AM14=TRUE,(B46+D46+F46+H46+J46)*B38*(MAX(L46,2)-1),0)+IF(AM15=TRUE,B50*F50*(MAX(L50,2)-1),0)+IF(AM16=TRUE,B54*F54*(MAX(L54,2)-1),0)+IF(AM17=TRUE,B58*F58*(MAX(L58,2)-1),0)</f>
        <v/>
      </c>
      <c r="AO3" s="65" t="inlineStr">
        <is>
          <t>спринт-м двускатный</t>
        </is>
      </c>
      <c r="AP3" s="65" t="inlineStr">
        <is>
          <t>спринт-м односкатный</t>
        </is>
      </c>
      <c r="AQ3" s="65" t="inlineStr">
        <is>
          <t>спринт-2м двускатный</t>
        </is>
      </c>
      <c r="AR3" s="65" t="inlineStr">
        <is>
          <t>спринт-2м односкатный</t>
        </is>
      </c>
      <c r="AS3" s="65" t="inlineStr">
        <is>
          <t>великан  двускатный</t>
        </is>
      </c>
      <c r="AT3" s="65" t="inlineStr">
        <is>
          <t>великан  односкатный</t>
        </is>
      </c>
      <c r="AU3" s="65" t="inlineStr">
        <is>
          <t>великан  плоская</t>
        </is>
      </c>
      <c r="AV3" s="65" t="inlineStr">
        <is>
          <t>великан  многоскатная</t>
        </is>
      </c>
      <c r="AW3" s="65" t="inlineStr">
        <is>
          <t>атлант  двускатный</t>
        </is>
      </c>
      <c r="AX3" s="65" t="inlineStr">
        <is>
          <t>атлант  односкатный</t>
        </is>
      </c>
      <c r="AY3" s="65" t="inlineStr">
        <is>
          <t>атлант  плоская</t>
        </is>
      </c>
      <c r="AZ3" s="65" t="inlineStr">
        <is>
          <t>атлант  многоскатная</t>
        </is>
      </c>
      <c r="BA3" s="65" t="inlineStr">
        <is>
          <t>атлант-м  двускатный</t>
        </is>
      </c>
      <c r="BB3" s="65" t="inlineStr">
        <is>
          <t>атлант-м  односкатный</t>
        </is>
      </c>
      <c r="BC3" s="65" t="inlineStr">
        <is>
          <t>атлант-м  плоская</t>
        </is>
      </c>
      <c r="BD3" s="65" t="inlineStr">
        <is>
          <t>атлант-м  многоскатная</t>
        </is>
      </c>
      <c r="BE3" s="65" t="inlineStr">
        <is>
          <t>крон двусткатный</t>
        </is>
      </c>
      <c r="BF3" s="65" t="inlineStr">
        <is>
          <t>крон односкатный</t>
        </is>
      </c>
      <c r="BH3" s="64" t="n"/>
      <c r="BI3" s="64" t="inlineStr">
        <is>
          <t>площадь</t>
        </is>
      </c>
      <c r="BJ3" s="64">
        <f>Y38*'Атлант, Великан'!AJ127+IF(BJ14=TRUE,(Y46+AA46+AC46+AE46+AG46)*Y38*(MAX(AI46,2)-1),0)+IF(BJ15=TRUE,Y50*AC50*(MAX(AI50,2)-1),0)+IF(BJ16=TRUE,Y54*AC54*(MAX(AI54,2)-1),0)+IF(BJ17=TRUE,Y58*AC58*(MAX(AI58,2)-1),0)</f>
        <v/>
      </c>
      <c r="BK3" s="64" t="n"/>
      <c r="BL3" s="65" t="inlineStr">
        <is>
          <t>спринт-м двускатный</t>
        </is>
      </c>
      <c r="BM3" s="65" t="inlineStr">
        <is>
          <t>спринт-м односкатный</t>
        </is>
      </c>
      <c r="BN3" s="65" t="inlineStr">
        <is>
          <t>спринт-2м двускатный</t>
        </is>
      </c>
      <c r="BO3" s="65" t="inlineStr">
        <is>
          <t>спринт-2м односкатный</t>
        </is>
      </c>
      <c r="BP3" s="65" t="inlineStr">
        <is>
          <t>великан  двускатный</t>
        </is>
      </c>
      <c r="BQ3" s="65" t="inlineStr">
        <is>
          <t>великан  односкатный</t>
        </is>
      </c>
      <c r="BR3" s="65" t="inlineStr">
        <is>
          <t>великан  плоская</t>
        </is>
      </c>
      <c r="BS3" s="65" t="inlineStr">
        <is>
          <t>великан  многоскатная</t>
        </is>
      </c>
      <c r="BT3" s="65" t="inlineStr">
        <is>
          <t>атлант  двускатный</t>
        </is>
      </c>
      <c r="BU3" s="65" t="inlineStr">
        <is>
          <t>атлант  односкатный</t>
        </is>
      </c>
      <c r="BV3" s="65" t="inlineStr">
        <is>
          <t>атлант  плоская</t>
        </is>
      </c>
      <c r="BW3" s="65" t="inlineStr">
        <is>
          <t>атлант  многоскатная</t>
        </is>
      </c>
      <c r="BX3" s="65" t="inlineStr">
        <is>
          <t>атлант-м  двускатный</t>
        </is>
      </c>
      <c r="BY3" s="65" t="inlineStr">
        <is>
          <t>атлант-м  односкатный</t>
        </is>
      </c>
      <c r="BZ3" s="65" t="inlineStr">
        <is>
          <t>атлант-м  плоская</t>
        </is>
      </c>
      <c r="CA3" s="65" t="inlineStr">
        <is>
          <t>атлант-м  многоскатная</t>
        </is>
      </c>
      <c r="CB3" s="65" t="inlineStr">
        <is>
          <t>крон двусткатный</t>
        </is>
      </c>
      <c r="CC3" s="65" t="inlineStr">
        <is>
          <t>крон односкатный</t>
        </is>
      </c>
    </row>
    <row r="4" hidden="1" ht="15.75" customHeight="1" thickBot="1">
      <c r="A4" s="3" t="n"/>
      <c r="AL4" s="64" t="inlineStr">
        <is>
          <t>база</t>
        </is>
      </c>
      <c r="AM4" s="64" t="n">
        <v>80000</v>
      </c>
      <c r="AN4" s="66" t="n"/>
      <c r="AO4" s="66">
        <f>Спринт!B2</f>
        <v/>
      </c>
      <c r="AP4" s="66">
        <f>Спринт!B38</f>
        <v/>
      </c>
      <c r="AQ4" s="66">
        <f>Спринт!B14</f>
        <v/>
      </c>
      <c r="AR4" s="66">
        <f>Спринт!B50</f>
        <v/>
      </c>
      <c r="AS4" s="66">
        <f>IF($D$33&lt;=1,'Атлант, Великан'!$B$1,'Атлант, Великан'!$B$31+($D$33-1)*'Атлант, Великан'!$C$31)</f>
        <v/>
      </c>
      <c r="AT4" s="66">
        <f>IF($D$33&lt;=1,'Атлант, Великан'!$B$16, 'Атлант, Великан'!$B$56+($D$33-1)*'Атлант, Великан'!$C$56)</f>
        <v/>
      </c>
      <c r="AU4" s="66">
        <f>'Атлант, Великан'!$B$80+($D$33-1)*'Атлант, Великан'!$C$80</f>
        <v/>
      </c>
      <c r="AV4" s="66">
        <f>'Атлант, Великан'!$B$104+($D$33-1)*'Атлант, Великан'!$C$104</f>
        <v/>
      </c>
      <c r="AW4" s="66">
        <f>IF($D$33&lt;=1,'Атлант, Великан'!$B$3,'Атлант, Великан'!$B$33+($D$33-1)*'Атлант, Великан'!$C$33)</f>
        <v/>
      </c>
      <c r="AX4" s="66">
        <f>IF($D$33&lt;=1,'Атлант, Великан'!$B$18,'Атлант, Великан'!$B$58+($D$33-1)*'Атлант, Великан'!$C$58)</f>
        <v/>
      </c>
      <c r="AY4" s="66">
        <f>'Атлант, Великан'!$B$82+($D$33-1)*'Атлант, Великан'!$C$82</f>
        <v/>
      </c>
      <c r="AZ4" s="66">
        <f>'Атлант, Великан'!$B$106+($D$33-1)*'Атлант, Великан'!$C$106</f>
        <v/>
      </c>
      <c r="BA4" s="66">
        <f>IF($D$33&lt;=1,'Атлант, Великан'!$B$5,'Атлант, Великан'!$B$35+($D$33-1)*'Атлант, Великан'!$C$35)</f>
        <v/>
      </c>
      <c r="BB4" s="66">
        <f>IF($D$33&lt;=1,'Атлант, Великан'!$B$20,'Атлант, Великан'!$B$60+($D$33-1)*'Атлант, Великан'!$C$60)</f>
        <v/>
      </c>
      <c r="BC4" s="66">
        <f>'Атлант, Великан'!$B$84+($D$33-1)*'Атлант, Великан'!$C$84</f>
        <v/>
      </c>
      <c r="BD4" s="66">
        <f>'Атлант, Великан'!$B$108+($D$33-1)*'Атлант, Великан'!$C$108</f>
        <v/>
      </c>
      <c r="BE4" s="66">
        <f>Спринт!B26</f>
        <v/>
      </c>
      <c r="BF4" s="66">
        <f>Спринт!B62</f>
        <v/>
      </c>
      <c r="BH4" s="64" t="n"/>
      <c r="BI4" s="64" t="inlineStr">
        <is>
          <t>база</t>
        </is>
      </c>
      <c r="BJ4" s="64" t="n">
        <v>80000</v>
      </c>
      <c r="BK4" s="66" t="n"/>
      <c r="BL4" s="66">
        <f>'Атлант, Великан'!B304</f>
        <v/>
      </c>
      <c r="BM4" s="66">
        <f>'Атлант, Великан'!B304</f>
        <v/>
      </c>
      <c r="BN4" s="66">
        <f>'Атлант, Великан'!B304</f>
        <v/>
      </c>
      <c r="BO4" s="66">
        <f>'Атлант, Великан'!B304</f>
        <v/>
      </c>
      <c r="BP4" s="66">
        <f>'Атлант, Великан'!B302</f>
        <v/>
      </c>
      <c r="BQ4" s="66">
        <f>'Атлант, Великан'!B302</f>
        <v/>
      </c>
      <c r="BR4" s="66">
        <f>'Атлант, Великан'!B302</f>
        <v/>
      </c>
      <c r="BS4" s="66">
        <f>'Атлант, Великан'!B302</f>
        <v/>
      </c>
      <c r="BT4" s="66">
        <f>'Атлант, Великан'!B302</f>
        <v/>
      </c>
      <c r="BU4" s="66">
        <f>'Атлант, Великан'!B302</f>
        <v/>
      </c>
      <c r="BV4" s="66">
        <f>'Атлант, Великан'!B302</f>
        <v/>
      </c>
      <c r="BW4" s="66">
        <f>'Атлант, Великан'!B302</f>
        <v/>
      </c>
      <c r="BX4" s="66">
        <f>'Атлант, Великан'!B302</f>
        <v/>
      </c>
      <c r="BY4" s="66">
        <f>'Атлант, Великан'!B302</f>
        <v/>
      </c>
      <c r="BZ4" s="66">
        <f>'Атлант, Великан'!B302</f>
        <v/>
      </c>
      <c r="CA4" s="66">
        <f>'Атлант, Великан'!B302</f>
        <v/>
      </c>
      <c r="CB4" s="66">
        <f>'Атлант, Великан'!B304</f>
        <v/>
      </c>
      <c r="CC4" s="66">
        <f>'Атлант, Великан'!B304</f>
        <v/>
      </c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  <c r="AK5" s="67" t="n"/>
      <c r="AL5" s="68" t="inlineStr">
        <is>
          <t>страна</t>
        </is>
      </c>
      <c r="AM5" s="83" t="n">
        <v>1</v>
      </c>
      <c r="AN5" s="69" t="n"/>
      <c r="AO5" s="70">
        <f>CHOOSE($AM$5,1,'Атлант, Великан'!$B$162)</f>
        <v/>
      </c>
      <c r="AP5" s="70">
        <f>CHOOSE($AM$5,1,'Атлант, Великан'!$B$162)</f>
        <v/>
      </c>
      <c r="AQ5" s="70">
        <f>CHOOSE($AM$5,1,'Атлант, Великан'!$B$162)</f>
        <v/>
      </c>
      <c r="AR5" s="70">
        <f>CHOOSE($AM$5,1,'Атлант, Великан'!$B$162)</f>
        <v/>
      </c>
      <c r="AS5" s="70">
        <f>CHOOSE($AM$5,1,'Атлант, Великан'!$B$162)</f>
        <v/>
      </c>
      <c r="AT5" s="70">
        <f>CHOOSE($AM$5,1,'Атлант, Великан'!$B$162)</f>
        <v/>
      </c>
      <c r="AU5" s="70">
        <f>CHOOSE($AM$5,1,'Атлант, Великан'!$B$162)</f>
        <v/>
      </c>
      <c r="AV5" s="70">
        <f>CHOOSE($AM$5,1,'Атлант, Великан'!$B$162)</f>
        <v/>
      </c>
      <c r="AW5" s="70">
        <f>CHOOSE($AM$5,1,'Атлант, Великан'!$B$162)</f>
        <v/>
      </c>
      <c r="AX5" s="70">
        <f>CHOOSE($AM$5,1,'Атлант, Великан'!$B$162)</f>
        <v/>
      </c>
      <c r="AY5" s="70">
        <f>CHOOSE($AM$5,1,'Атлант, Великан'!$B$162)</f>
        <v/>
      </c>
      <c r="AZ5" s="70">
        <f>CHOOSE($AM$5,1,'Атлант, Великан'!$B$162)</f>
        <v/>
      </c>
      <c r="BA5" s="70">
        <f>CHOOSE($AM$5,1,'Атлант, Великан'!$B$162)</f>
        <v/>
      </c>
      <c r="BB5" s="70">
        <f>CHOOSE($AM$5,1,'Атлант, Великан'!$B$162)</f>
        <v/>
      </c>
      <c r="BC5" s="70">
        <f>CHOOSE($AM$5,1,'Атлант, Великан'!$B$162)</f>
        <v/>
      </c>
      <c r="BD5" s="70">
        <f>CHOOSE($AM$5,1,'Атлант, Великан'!$B$162)</f>
        <v/>
      </c>
      <c r="BE5" s="70">
        <f>CHOOSE($AM$5,1,'Атлант, Великан'!$B$162)</f>
        <v/>
      </c>
      <c r="BF5" s="70">
        <f>CHOOSE($AM$5,1,'Атлант, Великан'!$B$162)</f>
        <v/>
      </c>
      <c r="BH5" s="67" t="n"/>
      <c r="BI5" s="68" t="inlineStr">
        <is>
          <t>страна</t>
        </is>
      </c>
      <c r="BJ5" s="2">
        <f>AM5</f>
        <v/>
      </c>
      <c r="BK5" s="69" t="n"/>
      <c r="BL5" s="70" t="n">
        <v>1</v>
      </c>
      <c r="BM5" s="70" t="n">
        <v>1</v>
      </c>
      <c r="BN5" s="70" t="n">
        <v>1</v>
      </c>
      <c r="BO5" s="70" t="n">
        <v>1</v>
      </c>
      <c r="BP5" s="70" t="n">
        <v>1</v>
      </c>
      <c r="BQ5" s="70" t="n">
        <v>1</v>
      </c>
      <c r="BR5" s="70" t="n">
        <v>1</v>
      </c>
      <c r="BS5" s="70" t="n">
        <v>1</v>
      </c>
      <c r="BT5" s="70" t="n">
        <v>1</v>
      </c>
      <c r="BU5" s="70" t="n">
        <v>1</v>
      </c>
      <c r="BV5" s="70" t="n">
        <v>1</v>
      </c>
      <c r="BW5" s="70" t="n">
        <v>1</v>
      </c>
      <c r="BX5" s="70" t="n">
        <v>1</v>
      </c>
      <c r="BY5" s="70" t="n">
        <v>1</v>
      </c>
      <c r="BZ5" s="70" t="n">
        <v>1</v>
      </c>
      <c r="CA5" s="70" t="n">
        <v>1</v>
      </c>
      <c r="CB5" s="70" t="n">
        <v>1</v>
      </c>
      <c r="CC5" s="70" t="n">
        <v>1</v>
      </c>
    </row>
    <row r="6">
      <c r="A6" s="3" t="n"/>
      <c r="AE6" s="7" t="n"/>
      <c r="AK6" s="71" t="n"/>
      <c r="AL6" s="66" t="inlineStr">
        <is>
          <t>сейсмика</t>
        </is>
      </c>
      <c r="AM6" s="84" t="n">
        <v>1</v>
      </c>
      <c r="AN6" s="69" t="n"/>
      <c r="AO6" s="66">
        <f>CHOOSE($AM$6,'Атлант, Великан'!$B$164,'Атлант, Великан'!$B$165,'Атлант, Великан'!$B$166,'Атлант, Великан'!$B$167)</f>
        <v/>
      </c>
      <c r="AP6" s="66">
        <f>CHOOSE($AM$6,'Атлант, Великан'!$B$164,'Атлант, Великан'!$B$165,'Атлант, Великан'!$B$166,'Атлант, Великан'!$B$167)</f>
        <v/>
      </c>
      <c r="AQ6" s="66">
        <f>CHOOSE($AM$6,'Атлант, Великан'!$B$164,'Атлант, Великан'!$B$165,'Атлант, Великан'!$B$166,'Атлант, Великан'!$B$167)</f>
        <v/>
      </c>
      <c r="AR6" s="66">
        <f>CHOOSE($AM$6,'Атлант, Великан'!$B$164,'Атлант, Великан'!$B$165,'Атлант, Великан'!$B$166,'Атлант, Великан'!$B$167)</f>
        <v/>
      </c>
      <c r="AS6" s="66">
        <f>CHOOSE($AM$6,'Атлант, Великан'!$B$164,'Атлант, Великан'!$B$165,'Атлант, Великан'!$B$166,'Атлант, Великан'!$B$167)</f>
        <v/>
      </c>
      <c r="AT6" s="66">
        <f>CHOOSE($AM$6,'Атлант, Великан'!$B$164,'Атлант, Великан'!$B$165,'Атлант, Великан'!$B$166,'Атлант, Великан'!$B$167)</f>
        <v/>
      </c>
      <c r="AU6" s="66">
        <f>CHOOSE($AM$6,'Атлант, Великан'!$B$164,'Атлант, Великан'!$B$165,'Атлант, Великан'!$B$166,'Атлант, Великан'!$B$167)</f>
        <v/>
      </c>
      <c r="AV6" s="66">
        <f>CHOOSE($AM$6,'Атлант, Великан'!$B$164,'Атлант, Великан'!$B$165,'Атлант, Великан'!$B$166,'Атлант, Великан'!$B$167)</f>
        <v/>
      </c>
      <c r="AW6" s="66">
        <f>CHOOSE($AM$6,'Атлант, Великан'!$B$164,'Атлант, Великан'!$B$165,'Атлант, Великан'!$B$166,'Атлант, Великан'!$B$167)</f>
        <v/>
      </c>
      <c r="AX6" s="66">
        <f>CHOOSE($AM$6,'Атлант, Великан'!$B$164,'Атлант, Великан'!$B$165,'Атлант, Великан'!$B$166,'Атлант, Великан'!$B$167)</f>
        <v/>
      </c>
      <c r="AY6" s="66">
        <f>CHOOSE($AM$6,'Атлант, Великан'!$B$164,'Атлант, Великан'!$B$165,'Атлант, Великан'!$B$166,'Атлант, Великан'!$B$167)</f>
        <v/>
      </c>
      <c r="AZ6" s="66">
        <f>CHOOSE($AM$6,'Атлант, Великан'!$B$164,'Атлант, Великан'!$B$165,'Атлант, Великан'!$B$166,'Атлант, Великан'!$B$167)</f>
        <v/>
      </c>
      <c r="BA6" s="66">
        <f>CHOOSE($AM$6,'Атлант, Великан'!$B$164,'Атлант, Великан'!$B$165,'Атлант, Великан'!$B$166,'Атлант, Великан'!$B$167)</f>
        <v/>
      </c>
      <c r="BB6" s="66">
        <f>CHOOSE($AM$6,'Атлант, Великан'!$B$164,'Атлант, Великан'!$B$165,'Атлант, Великан'!$B$166,'Атлант, Великан'!$B$167)</f>
        <v/>
      </c>
      <c r="BC6" s="66">
        <f>CHOOSE($AM$6,'Атлант, Великан'!$B$164,'Атлант, Великан'!$B$165,'Атлант, Великан'!$B$166,'Атлант, Великан'!$B$167)</f>
        <v/>
      </c>
      <c r="BD6" s="66">
        <f>CHOOSE($AM$6,'Атлант, Великан'!$B$164,'Атлант, Великан'!$B$165,'Атлант, Великан'!$B$166,'Атлант, Великан'!$B$167)</f>
        <v/>
      </c>
      <c r="BE6" s="66">
        <f>CHOOSE($AM$6,'Атлант, Великан'!$B$164,'Атлант, Великан'!$B$165,'Атлант, Великан'!$B$166,'Атлант, Великан'!$B$167)</f>
        <v/>
      </c>
      <c r="BF6" s="66">
        <f>CHOOSE($AM$6,'Атлант, Великан'!$B$164,'Атлант, Великан'!$B$165,'Атлант, Великан'!$B$166,'Атлант, Великан'!$B$167)</f>
        <v/>
      </c>
      <c r="BH6" s="71" t="n"/>
      <c r="BI6" s="66" t="inlineStr">
        <is>
          <t>сейсмика</t>
        </is>
      </c>
      <c r="BJ6" s="2">
        <f>AM6</f>
        <v/>
      </c>
      <c r="BK6" s="69" t="n"/>
      <c r="BL6" s="66" t="n">
        <v>0</v>
      </c>
      <c r="BM6" s="66" t="n">
        <v>0</v>
      </c>
      <c r="BN6" s="66" t="n">
        <v>0</v>
      </c>
      <c r="BO6" s="66" t="n">
        <v>0</v>
      </c>
      <c r="BP6" s="66" t="n">
        <v>0</v>
      </c>
      <c r="BQ6" s="66" t="n">
        <v>0</v>
      </c>
      <c r="BR6" s="66" t="n">
        <v>0</v>
      </c>
      <c r="BS6" s="66" t="n">
        <v>0</v>
      </c>
      <c r="BT6" s="66" t="n">
        <v>0</v>
      </c>
      <c r="BU6" s="66" t="n">
        <v>0</v>
      </c>
      <c r="BV6" s="66" t="n">
        <v>0</v>
      </c>
      <c r="BW6" s="66" t="n">
        <v>0</v>
      </c>
      <c r="BX6" s="66" t="n">
        <v>0</v>
      </c>
      <c r="BY6" s="66" t="n">
        <v>0</v>
      </c>
      <c r="BZ6" s="66" t="n">
        <v>0</v>
      </c>
      <c r="CA6" s="66" t="n">
        <v>0</v>
      </c>
      <c r="CB6" s="66" t="n">
        <v>0</v>
      </c>
      <c r="CC6" s="66" t="n">
        <v>0</v>
      </c>
    </row>
    <row r="7" ht="15.75" customHeight="1" thickBot="1">
      <c r="A7" s="3" t="n"/>
      <c r="AE7" s="7" t="n"/>
      <c r="AK7" s="72" t="n"/>
      <c r="AL7" s="73" t="inlineStr">
        <is>
          <t>тип здания</t>
        </is>
      </c>
      <c r="AM7" s="85" t="n">
        <v>3</v>
      </c>
      <c r="AN7" s="69" t="n"/>
      <c r="AO7" s="66">
        <f>CHOOSE($AM$7,1,0,0,0,0,0)</f>
        <v/>
      </c>
      <c r="AP7" s="66">
        <f>CHOOSE($AM$7,1,0,0,0,0,0)</f>
        <v/>
      </c>
      <c r="AQ7" s="66">
        <f>CHOOSE($AM$7,0,1,0,0,0,0)</f>
        <v/>
      </c>
      <c r="AR7" s="66">
        <f>CHOOSE($AM$7,0,1,0,0,0,0)</f>
        <v/>
      </c>
      <c r="AS7" s="66">
        <f>CHOOSE($AM$7,0,0,1,0,0,0)</f>
        <v/>
      </c>
      <c r="AT7" s="66">
        <f>CHOOSE($AM$7,0,0,1,0,0,0)</f>
        <v/>
      </c>
      <c r="AU7" s="66">
        <f>CHOOSE($AM$7,0,0,1,0,0,0)</f>
        <v/>
      </c>
      <c r="AV7" s="66">
        <f>CHOOSE($AM$7,0,0,1,0,0,0)</f>
        <v/>
      </c>
      <c r="AW7" s="66">
        <f>CHOOSE($AM$7,0,0,0,1,0,0)</f>
        <v/>
      </c>
      <c r="AX7" s="66">
        <f>CHOOSE($AM$7,0,0,0,1,0,0)</f>
        <v/>
      </c>
      <c r="AY7" s="66">
        <f>CHOOSE($AM$7,0,0,0,1,0,0)</f>
        <v/>
      </c>
      <c r="AZ7" s="66">
        <f>CHOOSE($AM$7,0,0,0,1,0,0)</f>
        <v/>
      </c>
      <c r="BA7" s="66">
        <f>CHOOSE($AM$7,0,0,0,0,1,0)</f>
        <v/>
      </c>
      <c r="BB7" s="66">
        <f>CHOOSE($AM$7,0,0,0,0,1,0)</f>
        <v/>
      </c>
      <c r="BC7" s="66">
        <f>CHOOSE($AM$7,0,0,0,0,1,0)</f>
        <v/>
      </c>
      <c r="BD7" s="66">
        <f>CHOOSE($AM$7,0,0,0,0,1,0)</f>
        <v/>
      </c>
      <c r="BE7" s="66">
        <f>CHOOSE($AM$7,0,0,0,0,0,1)</f>
        <v/>
      </c>
      <c r="BF7" s="66">
        <f>CHOOSE($AM$7,0,0,0,0,0,1)</f>
        <v/>
      </c>
      <c r="BH7" s="72" t="n"/>
      <c r="BI7" s="73" t="inlineStr">
        <is>
          <t>тип здания</t>
        </is>
      </c>
      <c r="BJ7" s="2">
        <f>AM7</f>
        <v/>
      </c>
      <c r="BK7" s="69" t="n"/>
      <c r="BL7" s="66">
        <f>CHOOSE($AM$7,1,0,0,0,0,0)</f>
        <v/>
      </c>
      <c r="BM7" s="66">
        <f>CHOOSE($AM$7,1,0,0,0,0,0)</f>
        <v/>
      </c>
      <c r="BN7" s="66">
        <f>CHOOSE($AM$7,0,1,0,0,0,0)</f>
        <v/>
      </c>
      <c r="BO7" s="66">
        <f>CHOOSE($AM$7,0,1,0,0,0,0)</f>
        <v/>
      </c>
      <c r="BP7" s="66">
        <f>CHOOSE($AM$7,0,0,1,0,0,0)</f>
        <v/>
      </c>
      <c r="BQ7" s="66">
        <f>CHOOSE($AM$7,0,0,1,0,0,0)</f>
        <v/>
      </c>
      <c r="BR7" s="66">
        <f>CHOOSE($AM$7,0,0,1,0,0,0)</f>
        <v/>
      </c>
      <c r="BS7" s="66">
        <f>CHOOSE($AM$7,0,0,1,0,0,0)</f>
        <v/>
      </c>
      <c r="BT7" s="66">
        <f>CHOOSE($AM$7,0,0,0,1,0,0)</f>
        <v/>
      </c>
      <c r="BU7" s="66">
        <f>CHOOSE($AM$7,0,0,0,1,0,0)</f>
        <v/>
      </c>
      <c r="BV7" s="66">
        <f>CHOOSE($AM$7,0,0,0,1,0,0)</f>
        <v/>
      </c>
      <c r="BW7" s="66">
        <f>CHOOSE($AM$7,0,0,0,1,0,0)</f>
        <v/>
      </c>
      <c r="BX7" s="66">
        <f>CHOOSE($AM$7,0,0,0,0,1,0)</f>
        <v/>
      </c>
      <c r="BY7" s="66">
        <f>CHOOSE($AM$7,0,0,0,0,1,0)</f>
        <v/>
      </c>
      <c r="BZ7" s="66">
        <f>CHOOSE($AM$7,0,0,0,0,1,0)</f>
        <v/>
      </c>
      <c r="CA7" s="66">
        <f>CHOOSE($AM$7,0,0,0,0,1,0)</f>
        <v/>
      </c>
      <c r="CB7" s="66">
        <f>CHOOSE($AM$7,0,0,0,0,0,1)</f>
        <v/>
      </c>
      <c r="CC7" s="66">
        <f>CHOOSE($AM$7,0,0,0,0,0,1)</f>
        <v/>
      </c>
    </row>
    <row r="8">
      <c r="A8" s="3" t="n"/>
      <c r="Q8" s="64" t="n"/>
      <c r="R8" s="64" t="n"/>
      <c r="S8" s="64" t="n"/>
      <c r="T8" s="64" t="n"/>
      <c r="U8" s="64" t="n"/>
      <c r="V8" s="64" t="n"/>
      <c r="W8" s="64" t="n"/>
      <c r="X8" s="64" t="n"/>
      <c r="Y8" s="97" t="n"/>
      <c r="Z8" s="64" t="n"/>
      <c r="AA8" s="64" t="n"/>
      <c r="AB8" s="64" t="n"/>
      <c r="AC8" s="64" t="n"/>
      <c r="AD8" s="64" t="n"/>
      <c r="AE8" s="78" t="n"/>
      <c r="AK8" s="67" t="inlineStr">
        <is>
          <t>проектирование</t>
        </is>
      </c>
      <c r="AL8" s="68" t="inlineStr">
        <is>
          <t>КМ</t>
        </is>
      </c>
      <c r="AM8" s="86" t="b">
        <v>1</v>
      </c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H8" s="67" t="inlineStr">
        <is>
          <t>проектирование</t>
        </is>
      </c>
      <c r="BI8" s="68" t="inlineStr">
        <is>
          <t>КМ</t>
        </is>
      </c>
      <c r="BJ8" s="2">
        <f>AM8</f>
        <v/>
      </c>
      <c r="BK8" s="69" t="n"/>
      <c r="BL8" s="66" t="n"/>
      <c r="BM8" s="66" t="n"/>
      <c r="BN8" s="66" t="n"/>
      <c r="BO8" s="66" t="n"/>
      <c r="BP8" s="66" t="n"/>
      <c r="BQ8" s="66" t="n"/>
      <c r="BR8" s="66" t="n"/>
      <c r="BS8" s="66" t="n"/>
      <c r="BT8" s="66" t="n"/>
      <c r="BU8" s="66" t="n"/>
      <c r="BV8" s="66" t="n"/>
      <c r="BW8" s="66" t="n"/>
      <c r="BX8" s="66" t="n"/>
      <c r="BY8" s="66" t="n"/>
      <c r="BZ8" s="66" t="n"/>
      <c r="CA8" s="66" t="n"/>
      <c r="CB8" s="66" t="n"/>
      <c r="CC8" s="66" t="n"/>
    </row>
    <row r="9" ht="15" customHeight="1">
      <c r="A9" s="3" t="n"/>
      <c r="Q9" s="64" t="n"/>
      <c r="R9" s="64" t="n"/>
      <c r="S9" s="79" t="n"/>
      <c r="T9" s="79" t="n"/>
      <c r="U9" s="79" t="n"/>
      <c r="V9" s="79" t="n"/>
      <c r="W9" s="79" t="n"/>
      <c r="X9" s="79" t="n"/>
      <c r="Y9" s="91" t="inlineStr">
        <is>
          <t>стоимость проектных работ КМ</t>
        </is>
      </c>
      <c r="Z9" s="98">
        <f>(MAX(AO79:BF79)+MAX(BL79:CC79))/1000*(100%+X2)</f>
        <v/>
      </c>
      <c r="AA9" s="154" t="n"/>
      <c r="AB9" s="80" t="inlineStr">
        <is>
          <t>тыс. руб</t>
        </is>
      </c>
      <c r="AC9" s="80" t="n"/>
      <c r="AD9" s="80" t="n"/>
      <c r="AE9" s="81" t="n"/>
      <c r="AK9" s="71" t="n"/>
      <c r="AL9" s="66" t="inlineStr">
        <is>
          <t>АС</t>
        </is>
      </c>
      <c r="AM9" s="87" t="b">
        <v>0</v>
      </c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H9" s="71" t="n"/>
      <c r="BI9" s="66" t="inlineStr">
        <is>
          <t>АС</t>
        </is>
      </c>
      <c r="BJ9" s="2">
        <f>AM9</f>
        <v/>
      </c>
      <c r="BK9" s="69" t="n"/>
      <c r="BL9" s="66" t="n"/>
      <c r="BM9" s="66" t="n"/>
      <c r="BN9" s="66" t="n"/>
      <c r="BO9" s="66" t="n"/>
      <c r="BP9" s="66" t="n"/>
      <c r="BQ9" s="66" t="n"/>
      <c r="BR9" s="66" t="n"/>
      <c r="BS9" s="66" t="n"/>
      <c r="BT9" s="66" t="n"/>
      <c r="BU9" s="66" t="n"/>
      <c r="BV9" s="66" t="n"/>
      <c r="BW9" s="66" t="n"/>
      <c r="BX9" s="66" t="n"/>
      <c r="BY9" s="66" t="n"/>
      <c r="BZ9" s="66" t="n"/>
      <c r="CA9" s="66" t="n"/>
      <c r="CB9" s="66" t="n"/>
      <c r="CC9" s="66" t="n"/>
    </row>
    <row r="10" ht="17.25" customHeight="1" thickBot="1">
      <c r="A10" s="3" t="n"/>
      <c r="Q10" s="64" t="n"/>
      <c r="R10" s="64" t="n"/>
      <c r="S10" s="100" t="inlineStr">
        <is>
          <t>срок проектирования КМ</t>
        </is>
      </c>
      <c r="T10" s="16" t="n"/>
      <c r="U10" s="16" t="n"/>
      <c r="V10" s="16" t="n"/>
      <c r="W10" s="16" t="n"/>
      <c r="X10" s="16" t="n"/>
      <c r="Y10" s="16" t="n"/>
      <c r="Z10" s="99">
        <f>MAX(AO80:BF80)+MAX(BL80:CC80)</f>
        <v/>
      </c>
      <c r="AA10" s="16" t="n"/>
      <c r="AB10" s="82" t="inlineStr">
        <is>
          <t>раб. дней</t>
        </is>
      </c>
      <c r="AC10" s="82" t="n"/>
      <c r="AD10" s="82" t="n"/>
      <c r="AE10" s="81" t="n"/>
      <c r="AK10" s="72" t="n"/>
      <c r="AL10" s="73" t="inlineStr">
        <is>
          <t>подстропильная ферма</t>
        </is>
      </c>
      <c r="AM10" s="88" t="b">
        <v>0</v>
      </c>
      <c r="AN10" s="66" t="n"/>
      <c r="AO10" s="66">
        <f>'Атлант, Великан'!$F$296</f>
        <v/>
      </c>
      <c r="AP10" s="66">
        <f>'Атлант, Великан'!$F$296</f>
        <v/>
      </c>
      <c r="AQ10" s="66">
        <f>'Атлант, Великан'!$F$296</f>
        <v/>
      </c>
      <c r="AR10" s="66">
        <f>'Атлант, Великан'!$F$296</f>
        <v/>
      </c>
      <c r="AS10" s="66">
        <f>'Атлант, Великан'!$F$296</f>
        <v/>
      </c>
      <c r="AT10" s="66">
        <f>'Атлант, Великан'!$F$296</f>
        <v/>
      </c>
      <c r="AU10" s="66">
        <f>'Атлант, Великан'!$F$296</f>
        <v/>
      </c>
      <c r="AV10" s="66">
        <f>'Атлант, Великан'!$F$296</f>
        <v/>
      </c>
      <c r="AW10" s="66">
        <f>'Атлант, Великан'!$F$296</f>
        <v/>
      </c>
      <c r="AX10" s="66">
        <f>'Атлант, Великан'!$F$296</f>
        <v/>
      </c>
      <c r="AY10" s="66">
        <f>'Атлант, Великан'!$F$296</f>
        <v/>
      </c>
      <c r="AZ10" s="66">
        <f>'Атлант, Великан'!$F$296</f>
        <v/>
      </c>
      <c r="BA10" s="66">
        <f>'Атлант, Великан'!$F$296</f>
        <v/>
      </c>
      <c r="BB10" s="66">
        <f>'Атлант, Великан'!$F$296</f>
        <v/>
      </c>
      <c r="BC10" s="66">
        <f>'Атлант, Великан'!$F$296</f>
        <v/>
      </c>
      <c r="BD10" s="66">
        <f>'Атлант, Великан'!$F$296</f>
        <v/>
      </c>
      <c r="BE10" s="66">
        <f>'Атлант, Великан'!$F$296</f>
        <v/>
      </c>
      <c r="BF10" s="66">
        <f>'Атлант, Великан'!$F$296</f>
        <v/>
      </c>
      <c r="BH10" s="72" t="n"/>
      <c r="BI10" s="73" t="inlineStr">
        <is>
          <t>подстропильная ферма</t>
        </is>
      </c>
      <c r="BJ10" s="2">
        <f>AM10</f>
        <v/>
      </c>
      <c r="BK10" s="69" t="n"/>
      <c r="BL10" s="66" t="n">
        <v>0</v>
      </c>
      <c r="BM10" s="66" t="n">
        <v>0</v>
      </c>
      <c r="BN10" s="66" t="n">
        <v>0</v>
      </c>
      <c r="BO10" s="66" t="n">
        <v>0</v>
      </c>
      <c r="BP10" s="66" t="n">
        <v>0</v>
      </c>
      <c r="BQ10" s="66" t="n">
        <v>0</v>
      </c>
      <c r="BR10" s="66" t="n">
        <v>0</v>
      </c>
      <c r="BS10" s="66" t="n">
        <v>0</v>
      </c>
      <c r="BT10" s="66" t="n">
        <v>0</v>
      </c>
      <c r="BU10" s="66" t="n">
        <v>0</v>
      </c>
      <c r="BV10" s="66" t="n">
        <v>0</v>
      </c>
      <c r="BW10" s="66" t="n">
        <v>0</v>
      </c>
      <c r="BX10" s="66" t="n">
        <v>0</v>
      </c>
      <c r="BY10" s="66" t="n">
        <v>0</v>
      </c>
      <c r="BZ10" s="66" t="n">
        <v>0</v>
      </c>
      <c r="CA10" s="66" t="n">
        <v>0</v>
      </c>
      <c r="CB10" s="66" t="n">
        <v>0</v>
      </c>
      <c r="CC10" s="66" t="n">
        <v>0</v>
      </c>
    </row>
    <row r="11" ht="15.75" customHeight="1" thickBot="1">
      <c r="A11" s="3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78" t="n"/>
      <c r="AK11" s="67" t="inlineStr">
        <is>
          <t>параметры здания</t>
        </is>
      </c>
      <c r="AL11" s="68" t="inlineStr">
        <is>
          <t>кровля</t>
        </is>
      </c>
      <c r="AM11" s="83" t="n">
        <v>2</v>
      </c>
      <c r="AN11" s="69" t="n"/>
      <c r="AO11" s="66">
        <f>CHOOSE($AM$11,0,1,0,0)</f>
        <v/>
      </c>
      <c r="AP11" s="66">
        <f>CHOOSE($AM$11,1,0,0,0)</f>
        <v/>
      </c>
      <c r="AQ11" s="66">
        <f>CHOOSE($AM$11,0,1,0,0)</f>
        <v/>
      </c>
      <c r="AR11" s="66">
        <f>CHOOSE($AM$11,1,0,0,0)</f>
        <v/>
      </c>
      <c r="AS11" s="66">
        <f>CHOOSE($AM$11,0,1,0,0)</f>
        <v/>
      </c>
      <c r="AT11" s="66">
        <f>CHOOSE($AM$11,1,0,0,0)</f>
        <v/>
      </c>
      <c r="AU11" s="66">
        <f>CHOOSE($AM$11,0,0,1,0)</f>
        <v/>
      </c>
      <c r="AV11" s="66">
        <f>CHOOSE($AM$11,0,0,0,1)</f>
        <v/>
      </c>
      <c r="AW11" s="66">
        <f>CHOOSE($AM$11,0,1,0,0)</f>
        <v/>
      </c>
      <c r="AX11" s="66">
        <f>CHOOSE($AM$11,1,0,0,0)</f>
        <v/>
      </c>
      <c r="AY11" s="66">
        <f>CHOOSE($AM$11,0,0,1,0)</f>
        <v/>
      </c>
      <c r="AZ11" s="66">
        <f>CHOOSE($AM$11,0,0,0,1)</f>
        <v/>
      </c>
      <c r="BA11" s="66">
        <f>CHOOSE($AM$11,0,1,0,0)</f>
        <v/>
      </c>
      <c r="BB11" s="66">
        <f>CHOOSE($AM$11,1,0,0,0)</f>
        <v/>
      </c>
      <c r="BC11" s="66">
        <f>CHOOSE($AM$11,0,0,1,0)</f>
        <v/>
      </c>
      <c r="BD11" s="66">
        <f>CHOOSE($AM$11,0,0,0,1)</f>
        <v/>
      </c>
      <c r="BE11" s="66">
        <f>CHOOSE($AM$11,0,1,0,0)</f>
        <v/>
      </c>
      <c r="BF11" s="66">
        <f>CHOOSE($AM$11,1,0,0,0)</f>
        <v/>
      </c>
      <c r="BH11" s="67" t="inlineStr">
        <is>
          <t>параметры здания</t>
        </is>
      </c>
      <c r="BI11" s="68" t="inlineStr">
        <is>
          <t>кровля</t>
        </is>
      </c>
      <c r="BJ11" s="2">
        <f>AM11</f>
        <v/>
      </c>
      <c r="BK11" s="69" t="n"/>
      <c r="BL11" s="66">
        <f>CHOOSE($AM$11,0,1,0,0)</f>
        <v/>
      </c>
      <c r="BM11" s="66">
        <f>CHOOSE($AM$11,1,0,0,0)</f>
        <v/>
      </c>
      <c r="BN11" s="66">
        <f>CHOOSE($AM$11,0,1,0,0)</f>
        <v/>
      </c>
      <c r="BO11" s="66">
        <f>CHOOSE($AM$11,1,0,0,0)</f>
        <v/>
      </c>
      <c r="BP11" s="66">
        <f>CHOOSE($AM$11,0,1,0,0)</f>
        <v/>
      </c>
      <c r="BQ11" s="66">
        <f>CHOOSE($AM$11,1,0,0,0)</f>
        <v/>
      </c>
      <c r="BR11" s="66">
        <f>CHOOSE($AM$11,0,0,1,0)</f>
        <v/>
      </c>
      <c r="BS11" s="66">
        <f>CHOOSE($AM$11,0,0,0,1)</f>
        <v/>
      </c>
      <c r="BT11" s="66">
        <f>CHOOSE($AM$11,0,1,0,0)</f>
        <v/>
      </c>
      <c r="BU11" s="66">
        <f>CHOOSE($AM$11,1,0,0,0)</f>
        <v/>
      </c>
      <c r="BV11" s="66">
        <f>CHOOSE($AM$11,0,0,1,0)</f>
        <v/>
      </c>
      <c r="BW11" s="66">
        <f>CHOOSE($AM$11,0,0,0,1)</f>
        <v/>
      </c>
      <c r="BX11" s="66">
        <f>CHOOSE($AM$11,0,1,0,0)</f>
        <v/>
      </c>
      <c r="BY11" s="66">
        <f>CHOOSE($AM$11,1,0,0,0)</f>
        <v/>
      </c>
      <c r="BZ11" s="66">
        <f>CHOOSE($AM$11,0,0,1,0)</f>
        <v/>
      </c>
      <c r="CA11" s="66">
        <f>CHOOSE($AM$11,0,0,0,1)</f>
        <v/>
      </c>
      <c r="CB11" s="66">
        <f>CHOOSE($AM$11,0,1,0,0)</f>
        <v/>
      </c>
      <c r="CC11" s="66">
        <f>CHOOSE($AM$11,1,0,0,0)</f>
        <v/>
      </c>
    </row>
    <row r="12" ht="15" customHeight="1">
      <c r="A12" s="3" t="n"/>
      <c r="Q12" s="64" t="n"/>
      <c r="R12" s="64" t="n"/>
      <c r="S12" s="101" t="inlineStr">
        <is>
          <t>Конструктив</t>
        </is>
      </c>
      <c r="T12" s="19" t="n"/>
      <c r="U12" s="155" t="n"/>
      <c r="V12" s="110" t="inlineStr">
        <is>
          <t>Средняя металлоемкость, кг/м2</t>
        </is>
      </c>
      <c r="W12" s="19" t="n"/>
      <c r="X12" s="19" t="n"/>
      <c r="Y12" s="155" t="n"/>
      <c r="Z12" s="119" t="inlineStr">
        <is>
          <t>Стоимость проектных работ, тыс.руб/т</t>
        </is>
      </c>
      <c r="AA12" s="19" t="n"/>
      <c r="AB12" s="19" t="n"/>
      <c r="AC12" s="155" t="n"/>
      <c r="AD12" s="64" t="n"/>
      <c r="AE12" s="78" t="n"/>
      <c r="AK12" s="71" t="n"/>
      <c r="AL12" s="66" t="inlineStr">
        <is>
          <t>пролеты</t>
        </is>
      </c>
      <c r="AM12" s="84" t="n">
        <v>1</v>
      </c>
      <c r="AN12" s="69" t="n"/>
      <c r="AO12" s="66" t="n">
        <v>0</v>
      </c>
      <c r="AP12" s="66" t="n">
        <v>0</v>
      </c>
      <c r="AQ12" s="66" t="n">
        <v>0</v>
      </c>
      <c r="AR12" s="66" t="n">
        <v>0</v>
      </c>
      <c r="AS12" s="66">
        <f>'Атлант, Великан'!V135</f>
        <v/>
      </c>
      <c r="AT12" s="66">
        <f>'Атлант, Великан'!V135</f>
        <v/>
      </c>
      <c r="AU12" s="66">
        <f>'Атлант, Великан'!V135</f>
        <v/>
      </c>
      <c r="AV12" s="66">
        <f>'Атлант, Великан'!V135</f>
        <v/>
      </c>
      <c r="AW12" s="66">
        <f>'Атлант, Великан'!V144</f>
        <v/>
      </c>
      <c r="AX12" s="66">
        <f>'Атлант, Великан'!V144</f>
        <v/>
      </c>
      <c r="AY12" s="66">
        <f>'Атлант, Великан'!V144</f>
        <v/>
      </c>
      <c r="AZ12" s="66">
        <f>'Атлант, Великан'!V144</f>
        <v/>
      </c>
      <c r="BA12" s="66">
        <f>'Атлант, Великан'!V153</f>
        <v/>
      </c>
      <c r="BB12" s="66">
        <f>'Атлант, Великан'!V153</f>
        <v/>
      </c>
      <c r="BC12" s="66">
        <f>'Атлант, Великан'!V153</f>
        <v/>
      </c>
      <c r="BD12" s="66">
        <f>'Атлант, Великан'!V153</f>
        <v/>
      </c>
      <c r="BE12" s="66" t="n">
        <v>0</v>
      </c>
      <c r="BF12" s="66" t="n">
        <v>0</v>
      </c>
      <c r="BH12" s="71" t="n"/>
      <c r="BI12" s="66" t="inlineStr">
        <is>
          <t>пролеты</t>
        </is>
      </c>
      <c r="BJ12" s="2">
        <f>AM12</f>
        <v/>
      </c>
      <c r="BK12" s="69" t="n"/>
      <c r="BL12" s="66" t="n"/>
      <c r="BM12" s="66" t="n"/>
      <c r="BN12" s="66" t="n"/>
      <c r="BO12" s="66" t="n"/>
      <c r="BP12" s="66" t="n"/>
      <c r="BQ12" s="66" t="n"/>
      <c r="BR12" s="66" t="n"/>
      <c r="BS12" s="66" t="n"/>
      <c r="BT12" s="66" t="n"/>
      <c r="BU12" s="66" t="n"/>
      <c r="BV12" s="66" t="n"/>
      <c r="BW12" s="66" t="n"/>
      <c r="BX12" s="66" t="n"/>
      <c r="BY12" s="66" t="n"/>
      <c r="BZ12" s="66" t="n"/>
      <c r="CA12" s="66" t="n"/>
      <c r="CB12" s="66" t="n"/>
      <c r="CC12" s="66" t="n"/>
    </row>
    <row r="13">
      <c r="A13" s="3" t="n"/>
      <c r="Q13" s="64" t="n"/>
      <c r="R13" s="64" t="n"/>
      <c r="S13" s="21" t="n"/>
      <c r="T13" s="16" t="n"/>
      <c r="U13" s="156" t="n"/>
      <c r="V13" s="21" t="n"/>
      <c r="W13" s="16" t="n"/>
      <c r="X13" s="16" t="n"/>
      <c r="Y13" s="156" t="n"/>
      <c r="Z13" s="16" t="n"/>
      <c r="AA13" s="16" t="n"/>
      <c r="AB13" s="16" t="n"/>
      <c r="AC13" s="156" t="n"/>
      <c r="AD13" s="64" t="n"/>
      <c r="AE13" s="78" t="n"/>
      <c r="AK13" s="71" t="n"/>
      <c r="AL13" s="66" t="inlineStr">
        <is>
          <t>шаг рам</t>
        </is>
      </c>
      <c r="AM13" s="84" t="n">
        <v>1</v>
      </c>
      <c r="AN13" s="69" t="n"/>
      <c r="AO13" s="66">
        <f>CHOOSE($AM$13,0,Спринт!$B$77)</f>
        <v/>
      </c>
      <c r="AP13" s="66">
        <f>CHOOSE($AM$13,0,Спринт!$B$77)</f>
        <v/>
      </c>
      <c r="AQ13" s="66">
        <f>CHOOSE($AM$13,0,Спринт!$B$77)</f>
        <v/>
      </c>
      <c r="AR13" s="66">
        <f>CHOOSE($AM$13,0,Спринт!$B$77)</f>
        <v/>
      </c>
      <c r="AS13" s="66">
        <f>CHOOSE($AM$13,0,'Атлант, Великан'!$B$160)</f>
        <v/>
      </c>
      <c r="AT13" s="66">
        <f>CHOOSE($AM$13,0,'Атлант, Великан'!$B$160)</f>
        <v/>
      </c>
      <c r="AU13" s="66">
        <f>CHOOSE($AM$13,0,'Атлант, Великан'!$B$160)</f>
        <v/>
      </c>
      <c r="AV13" s="66">
        <f>CHOOSE($AM$13,0,'Атлант, Великан'!$B$160)</f>
        <v/>
      </c>
      <c r="AW13" s="66">
        <f>CHOOSE($AM$13,0,'Атлант, Великан'!$B$160)</f>
        <v/>
      </c>
      <c r="AX13" s="66">
        <f>CHOOSE($AM$13,0,'Атлант, Великан'!$B$160)</f>
        <v/>
      </c>
      <c r="AY13" s="66">
        <f>CHOOSE($AM$13,0,'Атлант, Великан'!$B$160)</f>
        <v/>
      </c>
      <c r="AZ13" s="66">
        <f>CHOOSE($AM$13,0,'Атлант, Великан'!$B$160)</f>
        <v/>
      </c>
      <c r="BA13" s="66">
        <f>CHOOSE($AM$13,0,'Атлант, Великан'!$B$160)</f>
        <v/>
      </c>
      <c r="BB13" s="66">
        <f>CHOOSE($AM$13,0,'Атлант, Великан'!$B$160)</f>
        <v/>
      </c>
      <c r="BC13" s="66">
        <f>CHOOSE($AM$13,0,'Атлант, Великан'!$B$160)</f>
        <v/>
      </c>
      <c r="BD13" s="66">
        <f>CHOOSE($AM$13,0,'Атлант, Великан'!$B$160)</f>
        <v/>
      </c>
      <c r="BE13" s="66">
        <f>CHOOSE($AM$13,0,Спринт!$B$77)</f>
        <v/>
      </c>
      <c r="BF13" s="66">
        <f>CHOOSE($AM$13,0,Спринт!$B$77)</f>
        <v/>
      </c>
      <c r="BH13" s="71" t="n"/>
      <c r="BI13" s="66" t="inlineStr">
        <is>
          <t>шаг рам</t>
        </is>
      </c>
      <c r="BJ13" s="2">
        <f>AM13</f>
        <v/>
      </c>
      <c r="BK13" s="69" t="n"/>
      <c r="BL13" s="66" t="n"/>
      <c r="BM13" s="66" t="n"/>
      <c r="BN13" s="66" t="n"/>
      <c r="BO13" s="66" t="n"/>
      <c r="BP13" s="66" t="n"/>
      <c r="BQ13" s="66" t="n"/>
      <c r="BR13" s="66" t="n"/>
      <c r="BS13" s="66" t="n"/>
      <c r="BT13" s="66" t="n"/>
      <c r="BU13" s="66" t="n"/>
      <c r="BV13" s="66" t="n"/>
      <c r="BW13" s="66" t="n"/>
      <c r="BX13" s="66" t="n"/>
      <c r="BY13" s="66" t="n"/>
      <c r="BZ13" s="66" t="n"/>
      <c r="CA13" s="66" t="n"/>
      <c r="CB13" s="66" t="n"/>
      <c r="CC13" s="66" t="n"/>
    </row>
    <row r="14" ht="15" customHeight="1" thickBot="1">
      <c r="A14" s="3" t="n"/>
      <c r="Q14" s="64" t="n"/>
      <c r="R14" s="64" t="n"/>
      <c r="S14" s="157" t="n"/>
      <c r="T14" s="154" t="n"/>
      <c r="U14" s="158" t="n"/>
      <c r="V14" s="157" t="n"/>
      <c r="W14" s="154" t="n"/>
      <c r="X14" s="154" t="n"/>
      <c r="Y14" s="158" t="n"/>
      <c r="Z14" s="154" t="n"/>
      <c r="AA14" s="154" t="n"/>
      <c r="AB14" s="154" t="n"/>
      <c r="AC14" s="158" t="n"/>
      <c r="AD14" s="64" t="n"/>
      <c r="AE14" s="78" t="n"/>
      <c r="AK14" s="71" t="n"/>
      <c r="AL14" s="66" t="inlineStr">
        <is>
          <t>наличие в здании перекрытия</t>
        </is>
      </c>
      <c r="AM14" s="84" t="b">
        <v>0</v>
      </c>
      <c r="AN14" s="69" t="n"/>
      <c r="AO14" s="66">
        <f>'Атлант, Великан'!$O$243</f>
        <v/>
      </c>
      <c r="AP14" s="66">
        <f>'Атлант, Великан'!$O$243</f>
        <v/>
      </c>
      <c r="AQ14" s="66">
        <f>'Атлант, Великан'!$O$243</f>
        <v/>
      </c>
      <c r="AR14" s="66">
        <f>'Атлант, Великан'!$O$243</f>
        <v/>
      </c>
      <c r="AS14" s="66">
        <f>'Атлант, Великан'!$O$243</f>
        <v/>
      </c>
      <c r="AT14" s="66">
        <f>'Атлант, Великан'!$O$243</f>
        <v/>
      </c>
      <c r="AU14" s="66">
        <f>'Атлант, Великан'!$O$243</f>
        <v/>
      </c>
      <c r="AV14" s="66">
        <f>'Атлант, Великан'!$O$243</f>
        <v/>
      </c>
      <c r="AW14" s="66">
        <f>'Атлант, Великан'!$O$243</f>
        <v/>
      </c>
      <c r="AX14" s="66">
        <f>'Атлант, Великан'!$O$243</f>
        <v/>
      </c>
      <c r="AY14" s="66">
        <f>'Атлант, Великан'!$O$243</f>
        <v/>
      </c>
      <c r="AZ14" s="66">
        <f>'Атлант, Великан'!$O$243</f>
        <v/>
      </c>
      <c r="BA14" s="66">
        <f>'Атлант, Великан'!$O$243</f>
        <v/>
      </c>
      <c r="BB14" s="66">
        <f>'Атлант, Великан'!$O$243</f>
        <v/>
      </c>
      <c r="BC14" s="66">
        <f>'Атлант, Великан'!$O$243</f>
        <v/>
      </c>
      <c r="BD14" s="66">
        <f>'Атлант, Великан'!$O$243</f>
        <v/>
      </c>
      <c r="BE14" s="66">
        <f>'Атлант, Великан'!$O$243</f>
        <v/>
      </c>
      <c r="BF14" s="66">
        <f>'Атлант, Великан'!$O$243</f>
        <v/>
      </c>
      <c r="BH14" s="71" t="n"/>
      <c r="BI14" s="66" t="inlineStr">
        <is>
          <t>наличие в здании перекрытия</t>
        </is>
      </c>
      <c r="BJ14" s="2">
        <f>AM14</f>
        <v/>
      </c>
      <c r="BK14" s="69" t="n"/>
      <c r="BL14" s="66">
        <f>'Атлант, Великан'!$L$520</f>
        <v/>
      </c>
      <c r="BM14" s="66">
        <f>'Атлант, Великан'!$L$520</f>
        <v/>
      </c>
      <c r="BN14" s="66">
        <f>'Атлант, Великан'!$L$520</f>
        <v/>
      </c>
      <c r="BO14" s="66">
        <f>'Атлант, Великан'!$L$520</f>
        <v/>
      </c>
      <c r="BP14" s="66">
        <f>'Атлант, Великан'!$L$520</f>
        <v/>
      </c>
      <c r="BQ14" s="66">
        <f>'Атлант, Великан'!$L$520</f>
        <v/>
      </c>
      <c r="BR14" s="66">
        <f>'Атлант, Великан'!$L$520</f>
        <v/>
      </c>
      <c r="BS14" s="66">
        <f>'Атлант, Великан'!$L$520</f>
        <v/>
      </c>
      <c r="BT14" s="66">
        <f>'Атлант, Великан'!$L$520</f>
        <v/>
      </c>
      <c r="BU14" s="66">
        <f>'Атлант, Великан'!$L$520</f>
        <v/>
      </c>
      <c r="BV14" s="66">
        <f>'Атлант, Великан'!$L$520</f>
        <v/>
      </c>
      <c r="BW14" s="66">
        <f>'Атлант, Великан'!$L$520</f>
        <v/>
      </c>
      <c r="BX14" s="66">
        <f>'Атлант, Великан'!$L$520</f>
        <v/>
      </c>
      <c r="BY14" s="66">
        <f>'Атлант, Великан'!$L$520</f>
        <v/>
      </c>
      <c r="BZ14" s="66">
        <f>'Атлант, Великан'!$L$520</f>
        <v/>
      </c>
      <c r="CA14" s="66">
        <f>'Атлант, Великан'!$L$520</f>
        <v/>
      </c>
      <c r="CB14" s="66">
        <f>'Атлант, Великан'!$L$520</f>
        <v/>
      </c>
      <c r="CC14" s="66">
        <f>'Атлант, Великан'!$L$520</f>
        <v/>
      </c>
    </row>
    <row r="15">
      <c r="A15" s="3" t="n"/>
      <c r="Q15" s="64" t="n"/>
      <c r="R15" s="64" t="n"/>
      <c r="S15" s="149" t="inlineStr">
        <is>
          <t>Спринт-М</t>
        </is>
      </c>
      <c r="T15" s="154" t="n"/>
      <c r="U15" s="158" t="n"/>
      <c r="V15" s="146" t="n">
        <v>25</v>
      </c>
      <c r="W15" s="159" t="n"/>
      <c r="X15" s="159" t="n"/>
      <c r="Y15" s="160" t="n"/>
      <c r="Z15" s="140">
        <f>CHOOSE($AM$11,AP78,AO78,0,0)/($AM$3*V15)</f>
        <v/>
      </c>
      <c r="AA15" s="161" t="n"/>
      <c r="AB15" s="161" t="n"/>
      <c r="AC15" s="162" t="n"/>
      <c r="AD15" s="64" t="n"/>
      <c r="AE15" s="78" t="n"/>
      <c r="AK15" s="71" t="n"/>
      <c r="AL15" s="66" t="inlineStr">
        <is>
          <t>наличие в здании антресоли 1</t>
        </is>
      </c>
      <c r="AM15" s="84" t="b">
        <v>0</v>
      </c>
      <c r="AN15" s="69" t="n"/>
      <c r="AO15" s="66">
        <f>'Атлант, Великан'!$B$252*'Атлант, Великан'!$I$252</f>
        <v/>
      </c>
      <c r="AP15" s="66">
        <f>'Атлант, Великан'!$B$252*'Атлант, Великан'!$I$252</f>
        <v/>
      </c>
      <c r="AQ15" s="66">
        <f>'Атлант, Великан'!$B$252*'Атлант, Великан'!$I$252</f>
        <v/>
      </c>
      <c r="AR15" s="66">
        <f>'Атлант, Великан'!$B$252*'Атлант, Великан'!$I$252</f>
        <v/>
      </c>
      <c r="AS15" s="66">
        <f>'Атлант, Великан'!$B$252*'Атлант, Великан'!$I$252</f>
        <v/>
      </c>
      <c r="AT15" s="66">
        <f>'Атлант, Великан'!$B$252*'Атлант, Великан'!$I$252</f>
        <v/>
      </c>
      <c r="AU15" s="66">
        <f>'Атлант, Великан'!$B$252*'Атлант, Великан'!$I$252</f>
        <v/>
      </c>
      <c r="AV15" s="66">
        <f>'Атлант, Великан'!$B$252*'Атлант, Великан'!$I$252</f>
        <v/>
      </c>
      <c r="AW15" s="66">
        <f>'Атлант, Великан'!$B$252*'Атлант, Великан'!$I$252</f>
        <v/>
      </c>
      <c r="AX15" s="66">
        <f>'Атлант, Великан'!$B$252*'Атлант, Великан'!$I$252</f>
        <v/>
      </c>
      <c r="AY15" s="66">
        <f>'Атлант, Великан'!$B$252*'Атлант, Великан'!$I$252</f>
        <v/>
      </c>
      <c r="AZ15" s="66">
        <f>'Атлант, Великан'!$B$252*'Атлант, Великан'!$I$252</f>
        <v/>
      </c>
      <c r="BA15" s="66">
        <f>'Атлант, Великан'!$B$252*'Атлант, Великан'!$I$252</f>
        <v/>
      </c>
      <c r="BB15" s="66">
        <f>'Атлант, Великан'!$B$252*'Атлант, Великан'!$I$252</f>
        <v/>
      </c>
      <c r="BC15" s="66">
        <f>'Атлант, Великан'!$B$252*'Атлант, Великан'!$I$252</f>
        <v/>
      </c>
      <c r="BD15" s="66">
        <f>'Атлант, Великан'!$B$252*'Атлант, Великан'!$I$252</f>
        <v/>
      </c>
      <c r="BE15" s="66">
        <f>'Атлант, Великан'!$B$252*'Атлант, Великан'!$I$252</f>
        <v/>
      </c>
      <c r="BF15" s="66">
        <f>'Атлант, Великан'!$B$252*'Атлант, Великан'!$I$252</f>
        <v/>
      </c>
      <c r="BH15" s="71" t="n"/>
      <c r="BI15" s="66" t="inlineStr">
        <is>
          <t>наличие в здании антресоли 1</t>
        </is>
      </c>
      <c r="BJ15" s="2">
        <f>AM15</f>
        <v/>
      </c>
      <c r="BK15" s="69" t="n"/>
      <c r="BL15" s="66">
        <f>'Атлант, Великан'!$R$520</f>
        <v/>
      </c>
      <c r="BM15" s="66">
        <f>'Атлант, Великан'!$R$520</f>
        <v/>
      </c>
      <c r="BN15" s="66">
        <f>'Атлант, Великан'!$R$520</f>
        <v/>
      </c>
      <c r="BO15" s="66">
        <f>'Атлант, Великан'!$R$520</f>
        <v/>
      </c>
      <c r="BP15" s="66">
        <f>'Атлант, Великан'!$R$520</f>
        <v/>
      </c>
      <c r="BQ15" s="66">
        <f>'Атлант, Великан'!$R$520</f>
        <v/>
      </c>
      <c r="BR15" s="66">
        <f>'Атлант, Великан'!$R$520</f>
        <v/>
      </c>
      <c r="BS15" s="66">
        <f>'Атлант, Великан'!$R$520</f>
        <v/>
      </c>
      <c r="BT15" s="66">
        <f>'Атлант, Великан'!$R$520</f>
        <v/>
      </c>
      <c r="BU15" s="66">
        <f>'Атлант, Великан'!$R$520</f>
        <v/>
      </c>
      <c r="BV15" s="66">
        <f>'Атлант, Великан'!$R$520</f>
        <v/>
      </c>
      <c r="BW15" s="66">
        <f>'Атлант, Великан'!$R$520</f>
        <v/>
      </c>
      <c r="BX15" s="66">
        <f>'Атлант, Великан'!$R$520</f>
        <v/>
      </c>
      <c r="BY15" s="66">
        <f>'Атлант, Великан'!$R$520</f>
        <v/>
      </c>
      <c r="BZ15" s="66">
        <f>'Атлант, Великан'!$R$520</f>
        <v/>
      </c>
      <c r="CA15" s="66">
        <f>'Атлант, Великан'!$R$520</f>
        <v/>
      </c>
      <c r="CB15" s="66">
        <f>'Атлант, Великан'!$R$520</f>
        <v/>
      </c>
      <c r="CC15" s="66">
        <f>'Атлант, Великан'!$R$520</f>
        <v/>
      </c>
    </row>
    <row r="16">
      <c r="A16" s="3" t="n"/>
      <c r="Q16" s="64" t="n"/>
      <c r="R16" s="64" t="n"/>
      <c r="S16" s="125" t="inlineStr">
        <is>
          <t>Спринт-2М</t>
        </is>
      </c>
      <c r="T16" s="163" t="n"/>
      <c r="U16" s="164" t="n"/>
      <c r="V16" s="128" t="n">
        <v>30</v>
      </c>
      <c r="W16" s="165" t="n"/>
      <c r="X16" s="165" t="n"/>
      <c r="Y16" s="166" t="n"/>
      <c r="Z16" s="137">
        <f>CHOOSE($AM$11,AR78,AQ78,0,0)/($AM$3*V16)</f>
        <v/>
      </c>
      <c r="AA16" s="154" t="n"/>
      <c r="AB16" s="154" t="n"/>
      <c r="AC16" s="158" t="n"/>
      <c r="AD16" s="64" t="n"/>
      <c r="AE16" s="78" t="n"/>
      <c r="AK16" s="71" t="n"/>
      <c r="AL16" s="66" t="inlineStr">
        <is>
          <t>наличие в здании антресоли 2</t>
        </is>
      </c>
      <c r="AM16" s="84" t="b">
        <v>0</v>
      </c>
      <c r="AN16" s="69" t="n"/>
      <c r="AO16" s="66">
        <f>'Атлант, Великан'!$B$252*'Атлант, Великан'!$J$252</f>
        <v/>
      </c>
      <c r="AP16" s="66">
        <f>'Атлант, Великан'!$B$252*'Атлант, Великан'!$J$252</f>
        <v/>
      </c>
      <c r="AQ16" s="66">
        <f>'Атлант, Великан'!$B$252*'Атлант, Великан'!$J$252</f>
        <v/>
      </c>
      <c r="AR16" s="66">
        <f>'Атлант, Великан'!$B$252*'Атлант, Великан'!$J$252</f>
        <v/>
      </c>
      <c r="AS16" s="66">
        <f>'Атлант, Великан'!$B$252*'Атлант, Великан'!$J$252</f>
        <v/>
      </c>
      <c r="AT16" s="66">
        <f>'Атлант, Великан'!$B$252*'Атлант, Великан'!$J$252</f>
        <v/>
      </c>
      <c r="AU16" s="66">
        <f>'Атлант, Великан'!$B$252*'Атлант, Великан'!$J$252</f>
        <v/>
      </c>
      <c r="AV16" s="66">
        <f>'Атлант, Великан'!$B$252*'Атлант, Великан'!$J$252</f>
        <v/>
      </c>
      <c r="AW16" s="66">
        <f>'Атлант, Великан'!$B$252*'Атлант, Великан'!$J$252</f>
        <v/>
      </c>
      <c r="AX16" s="66">
        <f>'Атлант, Великан'!$B$252*'Атлант, Великан'!$J$252</f>
        <v/>
      </c>
      <c r="AY16" s="66">
        <f>'Атлант, Великан'!$B$252*'Атлант, Великан'!$J$252</f>
        <v/>
      </c>
      <c r="AZ16" s="66">
        <f>'Атлант, Великан'!$B$252*'Атлант, Великан'!$J$252</f>
        <v/>
      </c>
      <c r="BA16" s="66">
        <f>'Атлант, Великан'!$B$252*'Атлант, Великан'!$J$252</f>
        <v/>
      </c>
      <c r="BB16" s="66">
        <f>'Атлант, Великан'!$B$252*'Атлант, Великан'!$J$252</f>
        <v/>
      </c>
      <c r="BC16" s="66">
        <f>'Атлант, Великан'!$B$252*'Атлант, Великан'!$J$252</f>
        <v/>
      </c>
      <c r="BD16" s="66">
        <f>'Атлант, Великан'!$B$252*'Атлант, Великан'!$J$252</f>
        <v/>
      </c>
      <c r="BE16" s="66">
        <f>'Атлант, Великан'!$B$252*'Атлант, Великан'!$J$252</f>
        <v/>
      </c>
      <c r="BF16" s="66">
        <f>'Атлант, Великан'!$B$252*'Атлант, Великан'!$J$252</f>
        <v/>
      </c>
      <c r="BH16" s="71" t="n"/>
      <c r="BI16" s="66" t="inlineStr">
        <is>
          <t>наличие в здании антресоли 2</t>
        </is>
      </c>
      <c r="BJ16" s="2">
        <f>AM16</f>
        <v/>
      </c>
      <c r="BK16" s="69" t="n"/>
      <c r="BL16" s="66" t="n"/>
      <c r="BM16" s="66" t="n"/>
      <c r="BN16" s="66" t="n"/>
      <c r="BO16" s="66" t="n"/>
      <c r="BP16" s="66" t="n"/>
      <c r="BQ16" s="66" t="n"/>
      <c r="BR16" s="66" t="n"/>
      <c r="BS16" s="66" t="n"/>
      <c r="BT16" s="66" t="n"/>
      <c r="BU16" s="66" t="n"/>
      <c r="BV16" s="66" t="n"/>
      <c r="BW16" s="66" t="n"/>
      <c r="BX16" s="66" t="n"/>
      <c r="BY16" s="66" t="n"/>
      <c r="BZ16" s="66" t="n"/>
      <c r="CA16" s="66" t="n"/>
      <c r="CB16" s="66" t="n"/>
      <c r="CC16" s="66" t="n"/>
    </row>
    <row r="17">
      <c r="A17" s="3" t="n"/>
      <c r="Q17" s="64" t="n"/>
      <c r="R17" s="64" t="n"/>
      <c r="S17" s="125" t="inlineStr">
        <is>
          <t>Великан</t>
        </is>
      </c>
      <c r="T17" s="163" t="n"/>
      <c r="U17" s="164" t="n"/>
      <c r="V17" s="128" t="n">
        <v>35</v>
      </c>
      <c r="W17" s="165" t="n"/>
      <c r="X17" s="165" t="n"/>
      <c r="Y17" s="166" t="n"/>
      <c r="Z17" s="143">
        <f>CHOOSE($AM$11,AT78,AS78,AU78,AV78)/($AM$3*V17)</f>
        <v/>
      </c>
      <c r="AA17" s="154" t="n"/>
      <c r="AB17" s="154" t="n"/>
      <c r="AC17" s="158" t="n"/>
      <c r="AD17" s="64" t="n"/>
      <c r="AE17" s="78" t="n"/>
      <c r="AK17" s="71" t="n"/>
      <c r="AL17" s="66" t="inlineStr">
        <is>
          <t>наличие в здании антресоли 3</t>
        </is>
      </c>
      <c r="AM17" s="84" t="b">
        <v>0</v>
      </c>
      <c r="AN17" s="69" t="n"/>
      <c r="AO17" s="66">
        <f>'Атлант, Великан'!$B$252*'Атлант, Великан'!$K$252</f>
        <v/>
      </c>
      <c r="AP17" s="66">
        <f>'Атлант, Великан'!$B$252*'Атлант, Великан'!$K$252</f>
        <v/>
      </c>
      <c r="AQ17" s="66">
        <f>'Атлант, Великан'!$B$252*'Атлант, Великан'!$K$252</f>
        <v/>
      </c>
      <c r="AR17" s="66">
        <f>'Атлант, Великан'!$B$252*'Атлант, Великан'!$K$252</f>
        <v/>
      </c>
      <c r="AS17" s="66">
        <f>'Атлант, Великан'!$B$252*'Атлант, Великан'!$K$252</f>
        <v/>
      </c>
      <c r="AT17" s="66">
        <f>'Атлант, Великан'!$B$252*'Атлант, Великан'!$K$252</f>
        <v/>
      </c>
      <c r="AU17" s="66">
        <f>'Атлант, Великан'!$B$252*'Атлант, Великан'!$K$252</f>
        <v/>
      </c>
      <c r="AV17" s="66">
        <f>'Атлант, Великан'!$B$252*'Атлант, Великан'!$K$252</f>
        <v/>
      </c>
      <c r="AW17" s="66">
        <f>'Атлант, Великан'!$B$252*'Атлант, Великан'!$K$252</f>
        <v/>
      </c>
      <c r="AX17" s="66">
        <f>'Атлант, Великан'!$B$252*'Атлант, Великан'!$K$252</f>
        <v/>
      </c>
      <c r="AY17" s="66">
        <f>'Атлант, Великан'!$B$252*'Атлант, Великан'!$K$252</f>
        <v/>
      </c>
      <c r="AZ17" s="66">
        <f>'Атлант, Великан'!$B$252*'Атлант, Великан'!$K$252</f>
        <v/>
      </c>
      <c r="BA17" s="66">
        <f>'Атлант, Великан'!$B$252*'Атлант, Великан'!$K$252</f>
        <v/>
      </c>
      <c r="BB17" s="66">
        <f>'Атлант, Великан'!$B$252*'Атлант, Великан'!$K$252</f>
        <v/>
      </c>
      <c r="BC17" s="66">
        <f>'Атлант, Великан'!$B$252*'Атлант, Великан'!$K$252</f>
        <v/>
      </c>
      <c r="BD17" s="66">
        <f>'Атлант, Великан'!$B$252*'Атлант, Великан'!$K$252</f>
        <v/>
      </c>
      <c r="BE17" s="66">
        <f>'Атлант, Великан'!$B$252*'Атлант, Великан'!$K$252</f>
        <v/>
      </c>
      <c r="BF17" s="66">
        <f>'Атлант, Великан'!$B$252*'Атлант, Великан'!$K$252</f>
        <v/>
      </c>
      <c r="BH17" s="71" t="n"/>
      <c r="BI17" s="66" t="inlineStr">
        <is>
          <t>наличие в здании антресоли 3</t>
        </is>
      </c>
      <c r="BJ17" s="2">
        <f>AM17</f>
        <v/>
      </c>
      <c r="BK17" s="69" t="n"/>
      <c r="BL17" s="66" t="n"/>
      <c r="BM17" s="66" t="n"/>
      <c r="BN17" s="66" t="n"/>
      <c r="BO17" s="66" t="n"/>
      <c r="BP17" s="66" t="n"/>
      <c r="BQ17" s="66" t="n"/>
      <c r="BR17" s="66" t="n"/>
      <c r="BS17" s="66" t="n"/>
      <c r="BT17" s="66" t="n"/>
      <c r="BU17" s="66" t="n"/>
      <c r="BV17" s="66" t="n"/>
      <c r="BW17" s="66" t="n"/>
      <c r="BX17" s="66" t="n"/>
      <c r="BY17" s="66" t="n"/>
      <c r="BZ17" s="66" t="n"/>
      <c r="CA17" s="66" t="n"/>
      <c r="CB17" s="66" t="n"/>
      <c r="CC17" s="66" t="n"/>
    </row>
    <row r="18">
      <c r="A18" s="3" t="n"/>
      <c r="Q18" s="64" t="n"/>
      <c r="R18" s="64" t="n"/>
      <c r="S18" s="125" t="inlineStr">
        <is>
          <t>Атлант</t>
        </is>
      </c>
      <c r="T18" s="163" t="n"/>
      <c r="U18" s="164" t="n"/>
      <c r="V18" s="128" t="n">
        <v>40</v>
      </c>
      <c r="W18" s="165" t="n"/>
      <c r="X18" s="165" t="n"/>
      <c r="Y18" s="166" t="n"/>
      <c r="Z18" s="137">
        <f>CHOOSE($AM$11,AX78,AW78,AY78,AZ78)/($AM$3*V18)</f>
        <v/>
      </c>
      <c r="AA18" s="154" t="n"/>
      <c r="AB18" s="154" t="n"/>
      <c r="AC18" s="158" t="n"/>
      <c r="AD18" s="64" t="n"/>
      <c r="AE18" s="78" t="n"/>
      <c r="AK18" s="71" t="n"/>
      <c r="AL18" s="66" t="inlineStr">
        <is>
          <t>наличие в здании опорного крана</t>
        </is>
      </c>
      <c r="AM18" s="84" t="b">
        <v>0</v>
      </c>
      <c r="AN18" s="69" t="n"/>
      <c r="AO18" s="66" t="n">
        <v>0</v>
      </c>
      <c r="AP18" s="66" t="n">
        <v>0</v>
      </c>
      <c r="AQ18" s="66" t="n">
        <v>0</v>
      </c>
      <c r="AR18" s="66" t="n">
        <v>0</v>
      </c>
      <c r="AS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/>
      </c>
      <c r="AT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/>
      </c>
      <c r="AU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/>
      </c>
      <c r="AV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/>
      </c>
      <c r="AW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/>
      </c>
      <c r="AX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/>
      </c>
      <c r="AY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/>
      </c>
      <c r="AZ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/>
      </c>
      <c r="BA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/>
      </c>
      <c r="BB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/>
      </c>
      <c r="BC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/>
      </c>
      <c r="BD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/>
      </c>
      <c r="BE18" s="66" t="n">
        <v>0</v>
      </c>
      <c r="BF18" s="66" t="n">
        <v>0</v>
      </c>
      <c r="BH18" s="71" t="n"/>
      <c r="BI18" s="66" t="inlineStr">
        <is>
          <t>наличие в здании опорного крана</t>
        </is>
      </c>
      <c r="BJ18" s="2">
        <f>AM18</f>
        <v/>
      </c>
      <c r="BK18" s="69" t="n"/>
      <c r="BL18" s="66" t="n"/>
      <c r="BM18" s="66" t="n"/>
      <c r="BN18" s="66" t="n"/>
      <c r="BO18" s="66" t="n"/>
      <c r="BP18" s="66" t="n"/>
      <c r="BQ18" s="66" t="n"/>
      <c r="BR18" s="66" t="n"/>
      <c r="BS18" s="66" t="n"/>
      <c r="BT18" s="66" t="n"/>
      <c r="BU18" s="66" t="n"/>
      <c r="BV18" s="66" t="n"/>
      <c r="BW18" s="66" t="n"/>
      <c r="BX18" s="66" t="n"/>
      <c r="BY18" s="66" t="n"/>
      <c r="BZ18" s="66" t="n"/>
      <c r="CA18" s="66" t="n"/>
      <c r="CB18" s="66" t="n"/>
      <c r="CC18" s="66" t="n"/>
    </row>
    <row r="19">
      <c r="A19" s="3" t="n"/>
      <c r="Q19" s="64" t="n"/>
      <c r="R19" s="64" t="n"/>
      <c r="S19" s="125" t="inlineStr">
        <is>
          <t>Атлант-М</t>
        </is>
      </c>
      <c r="T19" s="163" t="n"/>
      <c r="U19" s="164" t="n"/>
      <c r="V19" s="128" t="n">
        <v>36</v>
      </c>
      <c r="W19" s="165" t="n"/>
      <c r="X19" s="165" t="n"/>
      <c r="Y19" s="166" t="n"/>
      <c r="Z19" s="137">
        <f>CHOOSE($AM$11,BB78,BA78,BC78,BD78)/($AM$3*V19)</f>
        <v/>
      </c>
      <c r="AA19" s="154" t="n"/>
      <c r="AB19" s="154" t="n"/>
      <c r="AC19" s="158" t="n"/>
      <c r="AD19" s="64" t="n"/>
      <c r="AE19" s="78" t="n"/>
      <c r="AK19" s="71" t="n"/>
      <c r="AL19" s="66" t="inlineStr">
        <is>
          <t>грузоподъемность опорного крана</t>
        </is>
      </c>
      <c r="AM19" s="84" t="n">
        <v>1</v>
      </c>
      <c r="AN19" s="69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H19" s="71" t="n"/>
      <c r="BI19" s="66" t="inlineStr">
        <is>
          <t>грузоподъемность опорного крана</t>
        </is>
      </c>
      <c r="BJ19" s="2">
        <f>AM19</f>
        <v/>
      </c>
      <c r="BK19" s="69" t="n"/>
      <c r="BL19" s="66" t="n"/>
      <c r="BM19" s="66" t="n"/>
      <c r="BN19" s="66" t="n"/>
      <c r="BO19" s="66" t="n"/>
      <c r="BP19" s="66" t="n"/>
      <c r="BQ19" s="66" t="n"/>
      <c r="BR19" s="66" t="n"/>
      <c r="BS19" s="66" t="n"/>
      <c r="BT19" s="66" t="n"/>
      <c r="BU19" s="66" t="n"/>
      <c r="BV19" s="66" t="n"/>
      <c r="BW19" s="66" t="n"/>
      <c r="BX19" s="66" t="n"/>
      <c r="BY19" s="66" t="n"/>
      <c r="BZ19" s="66" t="n"/>
      <c r="CA19" s="66" t="n"/>
      <c r="CB19" s="66" t="n"/>
      <c r="CC19" s="66" t="n"/>
    </row>
    <row r="20" ht="15.75" customHeight="1" thickBot="1">
      <c r="A20" s="3" t="n"/>
      <c r="Q20" s="64" t="n"/>
      <c r="R20" s="64" t="n"/>
      <c r="S20" s="131" t="inlineStr">
        <is>
          <t>Крон</t>
        </is>
      </c>
      <c r="T20" s="167" t="n"/>
      <c r="U20" s="168" t="n"/>
      <c r="V20" s="134" t="n">
        <v>30</v>
      </c>
      <c r="W20" s="169" t="n"/>
      <c r="X20" s="169" t="n"/>
      <c r="Y20" s="170" t="n"/>
      <c r="Z20" s="122">
        <f>CHOOSE($AM$11,BF78,BE78,0,0)/($AM$3*V20)</f>
        <v/>
      </c>
      <c r="AA20" s="28" t="n"/>
      <c r="AB20" s="28" t="n"/>
      <c r="AC20" s="171" t="n"/>
      <c r="AD20" s="64" t="n"/>
      <c r="AE20" s="78" t="n"/>
      <c r="AK20" s="71" t="n"/>
      <c r="AL20" s="66" t="inlineStr">
        <is>
          <t>наличие в здании подвесного крана</t>
        </is>
      </c>
      <c r="AM20" s="84" t="b">
        <v>0</v>
      </c>
      <c r="AN20" s="69" t="n"/>
      <c r="AO20" s="66" t="n">
        <v>0</v>
      </c>
      <c r="AP20" s="66" t="n">
        <v>0</v>
      </c>
      <c r="AQ20" s="66" t="n">
        <v>0</v>
      </c>
      <c r="AR20" s="66" t="n">
        <v>0</v>
      </c>
      <c r="AS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/>
      </c>
      <c r="AT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/>
      </c>
      <c r="AU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/>
      </c>
      <c r="AV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/>
      </c>
      <c r="AW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/>
      </c>
      <c r="AX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/>
      </c>
      <c r="AY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/>
      </c>
      <c r="AZ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/>
      </c>
      <c r="BA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/>
      </c>
      <c r="BB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/>
      </c>
      <c r="BC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/>
      </c>
      <c r="BD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/>
      </c>
      <c r="BE20" s="66" t="n">
        <v>0</v>
      </c>
      <c r="BF20" s="66" t="n">
        <v>0</v>
      </c>
      <c r="BH20" s="71" t="n"/>
      <c r="BI20" s="66" t="inlineStr">
        <is>
          <t>наличие в здании подвесного крана</t>
        </is>
      </c>
      <c r="BJ20" s="2">
        <f>AM20</f>
        <v/>
      </c>
      <c r="BK20" s="69" t="n"/>
      <c r="BL20" s="66" t="n"/>
      <c r="BM20" s="66" t="n"/>
      <c r="BN20" s="66" t="n"/>
      <c r="BO20" s="66" t="n"/>
      <c r="BP20" s="66" t="n"/>
      <c r="BQ20" s="66" t="n"/>
      <c r="BR20" s="66" t="n"/>
      <c r="BS20" s="66" t="n"/>
      <c r="BT20" s="66" t="n"/>
      <c r="BU20" s="66" t="n"/>
      <c r="BV20" s="66" t="n"/>
      <c r="BW20" s="66" t="n"/>
      <c r="BX20" s="66" t="n"/>
      <c r="BY20" s="66" t="n"/>
      <c r="BZ20" s="66" t="n"/>
      <c r="CA20" s="66" t="n"/>
      <c r="CB20" s="66" t="n"/>
      <c r="CC20" s="66" t="n"/>
    </row>
    <row r="21">
      <c r="A21" s="3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78" t="n"/>
      <c r="AK21" s="71" t="n"/>
      <c r="AL21" s="66" t="inlineStr">
        <is>
          <t>грузоподъемность подвесного крана</t>
        </is>
      </c>
      <c r="AM21" s="84" t="n">
        <v>1</v>
      </c>
      <c r="AN21" s="69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H21" s="71" t="n"/>
      <c r="BI21" s="66" t="inlineStr">
        <is>
          <t>грузоподъемность подвесного крана</t>
        </is>
      </c>
      <c r="BJ21" s="2">
        <f>AM21</f>
        <v/>
      </c>
      <c r="BK21" s="69" t="n"/>
      <c r="BL21" s="66" t="n"/>
      <c r="BM21" s="66" t="n"/>
      <c r="BN21" s="66" t="n"/>
      <c r="BO21" s="66" t="n"/>
      <c r="BP21" s="66" t="n"/>
      <c r="BQ21" s="66" t="n"/>
      <c r="BR21" s="66" t="n"/>
      <c r="BS21" s="66" t="n"/>
      <c r="BT21" s="66" t="n"/>
      <c r="BU21" s="66" t="n"/>
      <c r="BV21" s="66" t="n"/>
      <c r="BW21" s="66" t="n"/>
      <c r="BX21" s="66" t="n"/>
      <c r="BY21" s="66" t="n"/>
      <c r="BZ21" s="66" t="n"/>
      <c r="CA21" s="66" t="n"/>
      <c r="CB21" s="66" t="n"/>
      <c r="CC21" s="66" t="n"/>
    </row>
    <row r="22" ht="15.75" customHeight="1" thickBot="1">
      <c r="A22" s="3" t="n"/>
      <c r="AE22" s="7" t="n"/>
      <c r="AK22" s="72" t="n"/>
      <c r="AL22" s="73" t="inlineStr">
        <is>
          <t>лестница</t>
        </is>
      </c>
      <c r="AM22" s="85" t="b">
        <v>0</v>
      </c>
      <c r="AN22" s="69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H22" s="72" t="n"/>
      <c r="BI22" s="73" t="inlineStr">
        <is>
          <t>лестница</t>
        </is>
      </c>
      <c r="BJ22" s="2">
        <f>AM22</f>
        <v/>
      </c>
      <c r="BK22" s="69" t="n"/>
      <c r="BL22" s="66" t="n"/>
      <c r="BM22" s="66" t="n"/>
      <c r="BN22" s="66" t="n"/>
      <c r="BO22" s="66" t="n"/>
      <c r="BP22" s="66" t="n"/>
      <c r="BQ22" s="66" t="n"/>
      <c r="BR22" s="66" t="n"/>
      <c r="BS22" s="66" t="n"/>
      <c r="BT22" s="66" t="n"/>
      <c r="BU22" s="66" t="n"/>
      <c r="BV22" s="66" t="n"/>
      <c r="BW22" s="66" t="n"/>
      <c r="BX22" s="66" t="n"/>
      <c r="BY22" s="66" t="n"/>
      <c r="BZ22" s="66" t="n"/>
      <c r="CA22" s="66" t="n"/>
      <c r="CB22" s="66" t="n"/>
      <c r="CC22" s="66" t="n"/>
    </row>
    <row r="23">
      <c r="A23" s="3" t="n"/>
      <c r="AE23" s="7" t="n"/>
      <c r="AK23" s="67" t="inlineStr">
        <is>
          <t>под Ж/Б ступени</t>
        </is>
      </c>
      <c r="AL23" s="68" t="inlineStr">
        <is>
          <t>одномаршевая</t>
        </is>
      </c>
      <c r="AM23" s="83" t="b">
        <v>0</v>
      </c>
      <c r="AN23" s="69" t="n"/>
      <c r="AO23" s="66">
        <f>IF($AM$23=TRUE,'Атлант, Великан'!$B$231*'Сроки и стоимость'!$F$71,0)</f>
        <v/>
      </c>
      <c r="AP23" s="66">
        <f>IF($AM$23=TRUE,'Атлант, Великан'!$B$231*'Сроки и стоимость'!$F$71,0)</f>
        <v/>
      </c>
      <c r="AQ23" s="66">
        <f>IF($AM$23=TRUE,'Атлант, Великан'!$B$231*'Сроки и стоимость'!$F$71,0)</f>
        <v/>
      </c>
      <c r="AR23" s="66">
        <f>IF($AM$23=TRUE,'Атлант, Великан'!$B$231*'Сроки и стоимость'!$F$71,0)</f>
        <v/>
      </c>
      <c r="AS23" s="66">
        <f>IF($AM$23=TRUE,'Атлант, Великан'!$B$231*'Сроки и стоимость'!$F$71,0)</f>
        <v/>
      </c>
      <c r="AT23" s="66">
        <f>IF($AM$23=TRUE,'Атлант, Великан'!$B$231*'Сроки и стоимость'!$F$71,0)</f>
        <v/>
      </c>
      <c r="AU23" s="66">
        <f>IF($AM$23=TRUE,'Атлант, Великан'!$B$231*'Сроки и стоимость'!$F$71,0)</f>
        <v/>
      </c>
      <c r="AV23" s="66">
        <f>IF($AM$23=TRUE,'Атлант, Великан'!$B$231*'Сроки и стоимость'!$F$71,0)</f>
        <v/>
      </c>
      <c r="AW23" s="66">
        <f>IF($AM$23=TRUE,'Атлант, Великан'!$B$231*'Сроки и стоимость'!$F$71,0)</f>
        <v/>
      </c>
      <c r="AX23" s="66">
        <f>IF($AM$23=TRUE,'Атлант, Великан'!$B$231*'Сроки и стоимость'!$F$71,0)</f>
        <v/>
      </c>
      <c r="AY23" s="66">
        <f>IF($AM$23=TRUE,'Атлант, Великан'!$B$231*'Сроки и стоимость'!$F$71,0)</f>
        <v/>
      </c>
      <c r="AZ23" s="66">
        <f>IF($AM$23=TRUE,'Атлант, Великан'!$B$231*'Сроки и стоимость'!$F$71,0)</f>
        <v/>
      </c>
      <c r="BA23" s="66">
        <f>IF($AM$23=TRUE,'Атлант, Великан'!$B$231*'Сроки и стоимость'!$F$71,0)</f>
        <v/>
      </c>
      <c r="BB23" s="66">
        <f>IF($AM$23=TRUE,'Атлант, Великан'!$B$231*'Сроки и стоимость'!$F$71,0)</f>
        <v/>
      </c>
      <c r="BC23" s="66">
        <f>IF($AM$23=TRUE,'Атлант, Великан'!$B$231*'Сроки и стоимость'!$F$71,0)</f>
        <v/>
      </c>
      <c r="BD23" s="66">
        <f>IF($AM$23=TRUE,'Атлант, Великан'!$B$231*'Сроки и стоимость'!$F$71,0)</f>
        <v/>
      </c>
      <c r="BE23" s="66">
        <f>IF($AM$23=TRUE,'Атлант, Великан'!$B$231*'Сроки и стоимость'!$F$71,0)</f>
        <v/>
      </c>
      <c r="BF23" s="66">
        <f>IF($AM$23=TRUE,'Атлант, Великан'!$B$231*'Сроки и стоимость'!$F$71,0)</f>
        <v/>
      </c>
      <c r="BH23" s="67" t="inlineStr">
        <is>
          <t>под Ж/Б ступени</t>
        </is>
      </c>
      <c r="BI23" s="68" t="inlineStr">
        <is>
          <t>одномаршевая</t>
        </is>
      </c>
      <c r="BJ23" s="2">
        <f>AM23</f>
        <v/>
      </c>
      <c r="BK23" s="69" t="n"/>
      <c r="BL23" s="66" t="n"/>
      <c r="BM23" s="66" t="n"/>
      <c r="BN23" s="66" t="n"/>
      <c r="BO23" s="66" t="n"/>
      <c r="BP23" s="66" t="n"/>
      <c r="BQ23" s="66" t="n"/>
      <c r="BR23" s="66" t="n"/>
      <c r="BS23" s="66" t="n"/>
      <c r="BT23" s="66" t="n"/>
      <c r="BU23" s="66" t="n"/>
      <c r="BV23" s="66" t="n"/>
      <c r="BW23" s="66" t="n"/>
      <c r="BX23" s="66" t="n"/>
      <c r="BY23" s="66" t="n"/>
      <c r="BZ23" s="66" t="n"/>
      <c r="CA23" s="66" t="n"/>
      <c r="CB23" s="66" t="n"/>
      <c r="CC23" s="66" t="n"/>
    </row>
    <row r="24">
      <c r="A24" s="3" t="n"/>
      <c r="AE24" s="7" t="n"/>
      <c r="AK24" s="71" t="n"/>
      <c r="AL24" s="66" t="inlineStr">
        <is>
          <t>двухмаршевая</t>
        </is>
      </c>
      <c r="AM24" s="84" t="b">
        <v>0</v>
      </c>
      <c r="AN24" s="69" t="n"/>
      <c r="AO24" s="66">
        <f>IF($AM$24=TRUE,'Атлант, Великан'!$B$232*'Сроки и стоимость'!$F$73,0)</f>
        <v/>
      </c>
      <c r="AP24" s="66">
        <f>IF($AM$24=TRUE,'Атлант, Великан'!$B$232*'Сроки и стоимость'!$F$73,0)</f>
        <v/>
      </c>
      <c r="AQ24" s="66">
        <f>IF($AM$24=TRUE,'Атлант, Великан'!$B$232*'Сроки и стоимость'!$F$73,0)</f>
        <v/>
      </c>
      <c r="AR24" s="66">
        <f>IF($AM$24=TRUE,'Атлант, Великан'!$B$232*'Сроки и стоимость'!$F$73,0)</f>
        <v/>
      </c>
      <c r="AS24" s="66">
        <f>IF($AM$24=TRUE,'Атлант, Великан'!$B$232*'Сроки и стоимость'!$F$73,0)</f>
        <v/>
      </c>
      <c r="AT24" s="66">
        <f>IF($AM$24=TRUE,'Атлант, Великан'!$B$232*'Сроки и стоимость'!$F$73,0)</f>
        <v/>
      </c>
      <c r="AU24" s="66">
        <f>IF($AM$24=TRUE,'Атлант, Великан'!$B$232*'Сроки и стоимость'!$F$73,0)</f>
        <v/>
      </c>
      <c r="AV24" s="66">
        <f>IF($AM$24=TRUE,'Атлант, Великан'!$B$232*'Сроки и стоимость'!$F$73,0)</f>
        <v/>
      </c>
      <c r="AW24" s="66">
        <f>IF($AM$24=TRUE,'Атлант, Великан'!$B$232*'Сроки и стоимость'!$F$73,0)</f>
        <v/>
      </c>
      <c r="AX24" s="66">
        <f>IF($AM$24=TRUE,'Атлант, Великан'!$B$232*'Сроки и стоимость'!$F$73,0)</f>
        <v/>
      </c>
      <c r="AY24" s="66">
        <f>IF($AM$24=TRUE,'Атлант, Великан'!$B$232*'Сроки и стоимость'!$F$73,0)</f>
        <v/>
      </c>
      <c r="AZ24" s="66">
        <f>IF($AM$24=TRUE,'Атлант, Великан'!$B$232*'Сроки и стоимость'!$F$73,0)</f>
        <v/>
      </c>
      <c r="BA24" s="66">
        <f>IF($AM$24=TRUE,'Атлант, Великан'!$B$232*'Сроки и стоимость'!$F$73,0)</f>
        <v/>
      </c>
      <c r="BB24" s="66">
        <f>IF($AM$24=TRUE,'Атлант, Великан'!$B$232*'Сроки и стоимость'!$F$73,0)</f>
        <v/>
      </c>
      <c r="BC24" s="66">
        <f>IF($AM$24=TRUE,'Атлант, Великан'!$B$232*'Сроки и стоимость'!$F$73,0)</f>
        <v/>
      </c>
      <c r="BD24" s="66">
        <f>IF($AM$24=TRUE,'Атлант, Великан'!$B$232*'Сроки и стоимость'!$F$73,0)</f>
        <v/>
      </c>
      <c r="BE24" s="66">
        <f>IF($AM$24=TRUE,'Атлант, Великан'!$B$232*'Сроки и стоимость'!$F$73,0)</f>
        <v/>
      </c>
      <c r="BF24" s="66">
        <f>IF($AM$24=TRUE,'Атлант, Великан'!$B$232*'Сроки и стоимость'!$F$73,0)</f>
        <v/>
      </c>
      <c r="BH24" s="71" t="n"/>
      <c r="BI24" s="66" t="inlineStr">
        <is>
          <t>двухмаршевая</t>
        </is>
      </c>
      <c r="BJ24" s="2">
        <f>AM24</f>
        <v/>
      </c>
      <c r="BK24" s="69" t="n"/>
      <c r="BL24" s="66" t="n"/>
      <c r="BM24" s="66" t="n"/>
      <c r="BN24" s="66" t="n"/>
      <c r="BO24" s="66" t="n"/>
      <c r="BP24" s="66" t="n"/>
      <c r="BQ24" s="66" t="n"/>
      <c r="BR24" s="66" t="n"/>
      <c r="BS24" s="66" t="n"/>
      <c r="BT24" s="66" t="n"/>
      <c r="BU24" s="66" t="n"/>
      <c r="BV24" s="66" t="n"/>
      <c r="BW24" s="66" t="n"/>
      <c r="BX24" s="66" t="n"/>
      <c r="BY24" s="66" t="n"/>
      <c r="BZ24" s="66" t="n"/>
      <c r="CA24" s="66" t="n"/>
      <c r="CB24" s="66" t="n"/>
      <c r="CC24" s="66" t="n"/>
    </row>
    <row r="25">
      <c r="A25" s="3" t="n"/>
      <c r="AE25" s="7" t="n"/>
      <c r="AK25" s="71" t="n"/>
      <c r="AL25" s="66" t="inlineStr">
        <is>
          <t>трехмаршевая</t>
        </is>
      </c>
      <c r="AM25" s="84" t="b">
        <v>0</v>
      </c>
      <c r="AN25" s="69" t="n"/>
      <c r="AO25" s="66">
        <f>IF($AM$25=TRUE,'Атлант, Великан'!$B$233*'Сроки и стоимость'!$F$75,0)</f>
        <v/>
      </c>
      <c r="AP25" s="66">
        <f>IF($AM$25=TRUE,'Атлант, Великан'!$B$233*'Сроки и стоимость'!$F$75,0)</f>
        <v/>
      </c>
      <c r="AQ25" s="66">
        <f>IF($AM$25=TRUE,'Атлант, Великан'!$B$233*'Сроки и стоимость'!$F$75,0)</f>
        <v/>
      </c>
      <c r="AR25" s="66">
        <f>IF($AM$25=TRUE,'Атлант, Великан'!$B$233*'Сроки и стоимость'!$F$75,0)</f>
        <v/>
      </c>
      <c r="AS25" s="66">
        <f>IF($AM$25=TRUE,'Атлант, Великан'!$B$233*'Сроки и стоимость'!$F$75,0)</f>
        <v/>
      </c>
      <c r="AT25" s="66">
        <f>IF($AM$25=TRUE,'Атлант, Великан'!$B$233*'Сроки и стоимость'!$F$75,0)</f>
        <v/>
      </c>
      <c r="AU25" s="66">
        <f>IF($AM$25=TRUE,'Атлант, Великан'!$B$233*'Сроки и стоимость'!$F$75,0)</f>
        <v/>
      </c>
      <c r="AV25" s="66">
        <f>IF($AM$25=TRUE,'Атлант, Великан'!$B$233*'Сроки и стоимость'!$F$75,0)</f>
        <v/>
      </c>
      <c r="AW25" s="66">
        <f>IF($AM$25=TRUE,'Атлант, Великан'!$B$233*'Сроки и стоимость'!$F$75,0)</f>
        <v/>
      </c>
      <c r="AX25" s="66">
        <f>IF($AM$25=TRUE,'Атлант, Великан'!$B$233*'Сроки и стоимость'!$F$75,0)</f>
        <v/>
      </c>
      <c r="AY25" s="66">
        <f>IF($AM$25=TRUE,'Атлант, Великан'!$B$233*'Сроки и стоимость'!$F$75,0)</f>
        <v/>
      </c>
      <c r="AZ25" s="66">
        <f>IF($AM$25=TRUE,'Атлант, Великан'!$B$233*'Сроки и стоимость'!$F$75,0)</f>
        <v/>
      </c>
      <c r="BA25" s="66">
        <f>IF($AM$25=TRUE,'Атлант, Великан'!$B$233*'Сроки и стоимость'!$F$75,0)</f>
        <v/>
      </c>
      <c r="BB25" s="66">
        <f>IF($AM$25=TRUE,'Атлант, Великан'!$B$233*'Сроки и стоимость'!$F$75,0)</f>
        <v/>
      </c>
      <c r="BC25" s="66">
        <f>IF($AM$25=TRUE,'Атлант, Великан'!$B$233*'Сроки и стоимость'!$F$75,0)</f>
        <v/>
      </c>
      <c r="BD25" s="66">
        <f>IF($AM$25=TRUE,'Атлант, Великан'!$B$233*'Сроки и стоимость'!$F$75,0)</f>
        <v/>
      </c>
      <c r="BE25" s="66">
        <f>IF($AM$25=TRUE,'Атлант, Великан'!$B$233*'Сроки и стоимость'!$F$75,0)</f>
        <v/>
      </c>
      <c r="BF25" s="66">
        <f>IF($AM$25=TRUE,'Атлант, Великан'!$B$233*'Сроки и стоимость'!$F$75,0)</f>
        <v/>
      </c>
      <c r="BH25" s="71" t="n"/>
      <c r="BI25" s="66" t="inlineStr">
        <is>
          <t>трехмаршевая</t>
        </is>
      </c>
      <c r="BJ25" s="2">
        <f>AM25</f>
        <v/>
      </c>
      <c r="BK25" s="69" t="n"/>
      <c r="BL25" s="66" t="n"/>
      <c r="BM25" s="66" t="n"/>
      <c r="BN25" s="66" t="n"/>
      <c r="BO25" s="66" t="n"/>
      <c r="BP25" s="66" t="n"/>
      <c r="BQ25" s="66" t="n"/>
      <c r="BR25" s="66" t="n"/>
      <c r="BS25" s="66" t="n"/>
      <c r="BT25" s="66" t="n"/>
      <c r="BU25" s="66" t="n"/>
      <c r="BV25" s="66" t="n"/>
      <c r="BW25" s="66" t="n"/>
      <c r="BX25" s="66" t="n"/>
      <c r="BY25" s="66" t="n"/>
      <c r="BZ25" s="66" t="n"/>
      <c r="CA25" s="66" t="n"/>
      <c r="CB25" s="66" t="n"/>
      <c r="CC25" s="66" t="n"/>
    </row>
    <row r="26" ht="15.75" customHeight="1" thickBot="1">
      <c r="A26" s="3" t="n"/>
      <c r="AE26" s="7" t="n"/>
      <c r="AK26" s="72" t="n"/>
      <c r="AL26" s="73" t="inlineStr">
        <is>
          <t>четырехмаршевая</t>
        </is>
      </c>
      <c r="AM26" s="85" t="b">
        <v>0</v>
      </c>
      <c r="AN26" s="69" t="n"/>
      <c r="AO26" s="66">
        <f>IF($AM$26=TRUE,'Атлант, Великан'!$B$234*'Сроки и стоимость'!$F$77,0)</f>
        <v/>
      </c>
      <c r="AP26" s="66">
        <f>IF($AM$26=TRUE,'Атлант, Великан'!$B$234*'Сроки и стоимость'!$F$77,0)</f>
        <v/>
      </c>
      <c r="AQ26" s="66">
        <f>IF($AM$26=TRUE,'Атлант, Великан'!$B$234*'Сроки и стоимость'!$F$77,0)</f>
        <v/>
      </c>
      <c r="AR26" s="66">
        <f>IF($AM$26=TRUE,'Атлант, Великан'!$B$234*'Сроки и стоимость'!$F$77,0)</f>
        <v/>
      </c>
      <c r="AS26" s="66">
        <f>IF($AM$26=TRUE,'Атлант, Великан'!$B$234*'Сроки и стоимость'!$F$77,0)</f>
        <v/>
      </c>
      <c r="AT26" s="66">
        <f>IF($AM$26=TRUE,'Атлант, Великан'!$B$234*'Сроки и стоимость'!$F$77,0)</f>
        <v/>
      </c>
      <c r="AU26" s="66">
        <f>IF($AM$26=TRUE,'Атлант, Великан'!$B$234*'Сроки и стоимость'!$F$77,0)</f>
        <v/>
      </c>
      <c r="AV26" s="66">
        <f>IF($AM$26=TRUE,'Атлант, Великан'!$B$234*'Сроки и стоимость'!$F$77,0)</f>
        <v/>
      </c>
      <c r="AW26" s="66">
        <f>IF($AM$26=TRUE,'Атлант, Великан'!$B$234*'Сроки и стоимость'!$F$77,0)</f>
        <v/>
      </c>
      <c r="AX26" s="66">
        <f>IF($AM$26=TRUE,'Атлант, Великан'!$B$234*'Сроки и стоимость'!$F$77,0)</f>
        <v/>
      </c>
      <c r="AY26" s="66">
        <f>IF($AM$26=TRUE,'Атлант, Великан'!$B$234*'Сроки и стоимость'!$F$77,0)</f>
        <v/>
      </c>
      <c r="AZ26" s="66">
        <f>IF($AM$26=TRUE,'Атлант, Великан'!$B$234*'Сроки и стоимость'!$F$77,0)</f>
        <v/>
      </c>
      <c r="BA26" s="66">
        <f>IF($AM$26=TRUE,'Атлант, Великан'!$B$234*'Сроки и стоимость'!$F$77,0)</f>
        <v/>
      </c>
      <c r="BB26" s="66">
        <f>IF($AM$26=TRUE,'Атлант, Великан'!$B$234*'Сроки и стоимость'!$F$77,0)</f>
        <v/>
      </c>
      <c r="BC26" s="66">
        <f>IF($AM$26=TRUE,'Атлант, Великан'!$B$234*'Сроки и стоимость'!$F$77,0)</f>
        <v/>
      </c>
      <c r="BD26" s="66">
        <f>IF($AM$26=TRUE,'Атлант, Великан'!$B$234*'Сроки и стоимость'!$F$77,0)</f>
        <v/>
      </c>
      <c r="BE26" s="66">
        <f>IF($AM$26=TRUE,'Атлант, Великан'!$B$234*'Сроки и стоимость'!$F$77,0)</f>
        <v/>
      </c>
      <c r="BF26" s="66">
        <f>IF($AM$26=TRUE,'Атлант, Великан'!$B$234*'Сроки и стоимость'!$F$77,0)</f>
        <v/>
      </c>
      <c r="BH26" s="72" t="n"/>
      <c r="BI26" s="73" t="inlineStr">
        <is>
          <t>четырехмаршевая</t>
        </is>
      </c>
      <c r="BJ26" s="2">
        <f>AM26</f>
        <v/>
      </c>
      <c r="BK26" s="69" t="n"/>
      <c r="BL26" s="66" t="n"/>
      <c r="BM26" s="66" t="n"/>
      <c r="BN26" s="66" t="n"/>
      <c r="BO26" s="66" t="n"/>
      <c r="BP26" s="66" t="n"/>
      <c r="BQ26" s="66" t="n"/>
      <c r="BR26" s="66" t="n"/>
      <c r="BS26" s="66" t="n"/>
      <c r="BT26" s="66" t="n"/>
      <c r="BU26" s="66" t="n"/>
      <c r="BV26" s="66" t="n"/>
      <c r="BW26" s="66" t="n"/>
      <c r="BX26" s="66" t="n"/>
      <c r="BY26" s="66" t="n"/>
      <c r="BZ26" s="66" t="n"/>
      <c r="CA26" s="66" t="n"/>
      <c r="CB26" s="66" t="n"/>
      <c r="CC26" s="66" t="n"/>
    </row>
    <row r="27">
      <c r="A27" s="3" t="n"/>
      <c r="AE27" s="7" t="n"/>
      <c r="AK27" s="67" t="inlineStr">
        <is>
          <t>с металлическими ступенями</t>
        </is>
      </c>
      <c r="AL27" s="68" t="inlineStr">
        <is>
          <t>одномаршевая</t>
        </is>
      </c>
      <c r="AM27" s="83" t="b">
        <v>0</v>
      </c>
      <c r="AN27" s="69" t="n"/>
      <c r="AO27" s="66">
        <f>IF($AM$27=TRUE,'Атлант, Великан'!$B$236*'Сроки и стоимость'!$N$71,0)</f>
        <v/>
      </c>
      <c r="AP27" s="66">
        <f>IF($AM$27=TRUE,'Атлант, Великан'!$B$236*'Сроки и стоимость'!$N$71,0)</f>
        <v/>
      </c>
      <c r="AQ27" s="66">
        <f>IF($AM$27=TRUE,'Атлант, Великан'!$B$236*'Сроки и стоимость'!$N$71,0)</f>
        <v/>
      </c>
      <c r="AR27" s="66">
        <f>IF($AM$27=TRUE,'Атлант, Великан'!$B$236*'Сроки и стоимость'!$N$71,0)</f>
        <v/>
      </c>
      <c r="AS27" s="66">
        <f>IF($AM$27=TRUE,'Атлант, Великан'!$B$236*'Сроки и стоимость'!$N$71,0)</f>
        <v/>
      </c>
      <c r="AT27" s="66">
        <f>IF($AM$27=TRUE,'Атлант, Великан'!$B$236*'Сроки и стоимость'!$N$71,0)</f>
        <v/>
      </c>
      <c r="AU27" s="66">
        <f>IF($AM$27=TRUE,'Атлант, Великан'!$B$236*'Сроки и стоимость'!$N$71,0)</f>
        <v/>
      </c>
      <c r="AV27" s="66">
        <f>IF($AM$27=TRUE,'Атлант, Великан'!$B$236*'Сроки и стоимость'!$N$71,0)</f>
        <v/>
      </c>
      <c r="AW27" s="66">
        <f>IF($AM$27=TRUE,'Атлант, Великан'!$B$236*'Сроки и стоимость'!$N$71,0)</f>
        <v/>
      </c>
      <c r="AX27" s="66">
        <f>IF($AM$27=TRUE,'Атлант, Великан'!$B$236*'Сроки и стоимость'!$N$71,0)</f>
        <v/>
      </c>
      <c r="AY27" s="66">
        <f>IF($AM$27=TRUE,'Атлант, Великан'!$B$236*'Сроки и стоимость'!$N$71,0)</f>
        <v/>
      </c>
      <c r="AZ27" s="66">
        <f>IF($AM$27=TRUE,'Атлант, Великан'!$B$236*'Сроки и стоимость'!$N$71,0)</f>
        <v/>
      </c>
      <c r="BA27" s="66">
        <f>IF($AM$27=TRUE,'Атлант, Великан'!$B$236*'Сроки и стоимость'!$N$71,0)</f>
        <v/>
      </c>
      <c r="BB27" s="66">
        <f>IF($AM$27=TRUE,'Атлант, Великан'!$B$236*'Сроки и стоимость'!$N$71,0)</f>
        <v/>
      </c>
      <c r="BC27" s="66">
        <f>IF($AM$27=TRUE,'Атлант, Великан'!$B$236*'Сроки и стоимость'!$N$71,0)</f>
        <v/>
      </c>
      <c r="BD27" s="66">
        <f>IF($AM$27=TRUE,'Атлант, Великан'!$B$236*'Сроки и стоимость'!$N$71,0)</f>
        <v/>
      </c>
      <c r="BE27" s="66">
        <f>IF($AM$27=TRUE,'Атлант, Великан'!$B$236*'Сроки и стоимость'!$N$71,0)</f>
        <v/>
      </c>
      <c r="BF27" s="66">
        <f>IF($AM$27=TRUE,'Атлант, Великан'!$B$236*'Сроки и стоимость'!$N$71,0)</f>
        <v/>
      </c>
      <c r="BH27" s="67" t="inlineStr">
        <is>
          <t>с металлическими ступенями</t>
        </is>
      </c>
      <c r="BI27" s="68" t="inlineStr">
        <is>
          <t>одномаршевая</t>
        </is>
      </c>
      <c r="BJ27" s="2">
        <f>AM27</f>
        <v/>
      </c>
      <c r="BK27" s="69" t="n"/>
      <c r="BL27" s="66" t="n"/>
      <c r="BM27" s="66" t="n"/>
      <c r="BN27" s="66" t="n"/>
      <c r="BO27" s="66" t="n"/>
      <c r="BP27" s="66" t="n"/>
      <c r="BQ27" s="66" t="n"/>
      <c r="BR27" s="66" t="n"/>
      <c r="BS27" s="66" t="n"/>
      <c r="BT27" s="66" t="n"/>
      <c r="BU27" s="66" t="n"/>
      <c r="BV27" s="66" t="n"/>
      <c r="BW27" s="66" t="n"/>
      <c r="BX27" s="66" t="n"/>
      <c r="BY27" s="66" t="n"/>
      <c r="BZ27" s="66" t="n"/>
      <c r="CA27" s="66" t="n"/>
      <c r="CB27" s="66" t="n"/>
      <c r="CC27" s="66" t="n"/>
    </row>
    <row r="28">
      <c r="A28" s="3" t="n"/>
      <c r="AE28" s="7" t="n"/>
      <c r="AK28" s="71" t="n"/>
      <c r="AL28" s="66" t="inlineStr">
        <is>
          <t>двухмаршевая</t>
        </is>
      </c>
      <c r="AM28" s="84" t="b">
        <v>0</v>
      </c>
      <c r="AN28" s="69" t="n"/>
      <c r="AO28" s="66">
        <f>IF($AM$28=TRUE,'Атлант, Великан'!$B$237*'Сроки и стоимость'!$N$73,0)</f>
        <v/>
      </c>
      <c r="AP28" s="66">
        <f>IF($AM$28=TRUE,'Атлант, Великан'!$B$237*'Сроки и стоимость'!$N$73,0)</f>
        <v/>
      </c>
      <c r="AQ28" s="66">
        <f>IF($AM$28=TRUE,'Атлант, Великан'!$B$237*'Сроки и стоимость'!$N$73,0)</f>
        <v/>
      </c>
      <c r="AR28" s="66">
        <f>IF($AM$28=TRUE,'Атлант, Великан'!$B$237*'Сроки и стоимость'!$N$73,0)</f>
        <v/>
      </c>
      <c r="AS28" s="66">
        <f>IF($AM$28=TRUE,'Атлант, Великан'!$B$237*'Сроки и стоимость'!$N$73,0)</f>
        <v/>
      </c>
      <c r="AT28" s="66">
        <f>IF($AM$28=TRUE,'Атлант, Великан'!$B$237*'Сроки и стоимость'!$N$73,0)</f>
        <v/>
      </c>
      <c r="AU28" s="66">
        <f>IF($AM$28=TRUE,'Атлант, Великан'!$B$237*'Сроки и стоимость'!$N$73,0)</f>
        <v/>
      </c>
      <c r="AV28" s="66">
        <f>IF($AM$28=TRUE,'Атлант, Великан'!$B$237*'Сроки и стоимость'!$N$73,0)</f>
        <v/>
      </c>
      <c r="AW28" s="66">
        <f>IF($AM$28=TRUE,'Атлант, Великан'!$B$237*'Сроки и стоимость'!$N$73,0)</f>
        <v/>
      </c>
      <c r="AX28" s="66">
        <f>IF($AM$28=TRUE,'Атлант, Великан'!$B$237*'Сроки и стоимость'!$N$73,0)</f>
        <v/>
      </c>
      <c r="AY28" s="66">
        <f>IF($AM$28=TRUE,'Атлант, Великан'!$B$237*'Сроки и стоимость'!$N$73,0)</f>
        <v/>
      </c>
      <c r="AZ28" s="66">
        <f>IF($AM$28=TRUE,'Атлант, Великан'!$B$237*'Сроки и стоимость'!$N$73,0)</f>
        <v/>
      </c>
      <c r="BA28" s="66">
        <f>IF($AM$28=TRUE,'Атлант, Великан'!$B$237*'Сроки и стоимость'!$N$73,0)</f>
        <v/>
      </c>
      <c r="BB28" s="66">
        <f>IF($AM$28=TRUE,'Атлант, Великан'!$B$237*'Сроки и стоимость'!$N$73,0)</f>
        <v/>
      </c>
      <c r="BC28" s="66">
        <f>IF($AM$28=TRUE,'Атлант, Великан'!$B$237*'Сроки и стоимость'!$N$73,0)</f>
        <v/>
      </c>
      <c r="BD28" s="66">
        <f>IF($AM$28=TRUE,'Атлант, Великан'!$B$237*'Сроки и стоимость'!$N$73,0)</f>
        <v/>
      </c>
      <c r="BE28" s="66">
        <f>IF($AM$28=TRUE,'Атлант, Великан'!$B$237*'Сроки и стоимость'!$N$73,0)</f>
        <v/>
      </c>
      <c r="BF28" s="66">
        <f>IF($AM$28=TRUE,'Атлант, Великан'!$B$237*'Сроки и стоимость'!$N$73,0)</f>
        <v/>
      </c>
      <c r="BH28" s="71" t="n"/>
      <c r="BI28" s="66" t="inlineStr">
        <is>
          <t>двухмаршевая</t>
        </is>
      </c>
      <c r="BJ28" s="2">
        <f>AM28</f>
        <v/>
      </c>
      <c r="BK28" s="69" t="n"/>
      <c r="BL28" s="66" t="n"/>
      <c r="BM28" s="66" t="n"/>
      <c r="BN28" s="66" t="n"/>
      <c r="BO28" s="66" t="n"/>
      <c r="BP28" s="66" t="n"/>
      <c r="BQ28" s="66" t="n"/>
      <c r="BR28" s="66" t="n"/>
      <c r="BS28" s="66" t="n"/>
      <c r="BT28" s="66" t="n"/>
      <c r="BU28" s="66" t="n"/>
      <c r="BV28" s="66" t="n"/>
      <c r="BW28" s="66" t="n"/>
      <c r="BX28" s="66" t="n"/>
      <c r="BY28" s="66" t="n"/>
      <c r="BZ28" s="66" t="n"/>
      <c r="CA28" s="66" t="n"/>
      <c r="CB28" s="66" t="n"/>
      <c r="CC28" s="66" t="n"/>
    </row>
    <row r="29">
      <c r="A29" s="3" t="n"/>
      <c r="AE29" s="7" t="n"/>
      <c r="AK29" s="71" t="n"/>
      <c r="AL29" s="66" t="inlineStr">
        <is>
          <t>трехмаршевая</t>
        </is>
      </c>
      <c r="AM29" s="84" t="b">
        <v>0</v>
      </c>
      <c r="AN29" s="69" t="n"/>
      <c r="AO29" s="66">
        <f>IF($AM$29=TRUE,'Атлант, Великан'!$B$238*'Сроки и стоимость'!$N$75,0)</f>
        <v/>
      </c>
      <c r="AP29" s="66">
        <f>IF($AM$29=TRUE,'Атлант, Великан'!$B$238*'Сроки и стоимость'!$N$75,0)</f>
        <v/>
      </c>
      <c r="AQ29" s="66">
        <f>IF($AM$29=TRUE,'Атлант, Великан'!$B$238*'Сроки и стоимость'!$N$75,0)</f>
        <v/>
      </c>
      <c r="AR29" s="66">
        <f>IF($AM$29=TRUE,'Атлант, Великан'!$B$238*'Сроки и стоимость'!$N$75,0)</f>
        <v/>
      </c>
      <c r="AS29" s="66">
        <f>IF($AM$29=TRUE,'Атлант, Великан'!$B$238*'Сроки и стоимость'!$N$75,0)</f>
        <v/>
      </c>
      <c r="AT29" s="66">
        <f>IF($AM$29=TRUE,'Атлант, Великан'!$B$238*'Сроки и стоимость'!$N$75,0)</f>
        <v/>
      </c>
      <c r="AU29" s="66">
        <f>IF($AM$29=TRUE,'Атлант, Великан'!$B$238*'Сроки и стоимость'!$N$75,0)</f>
        <v/>
      </c>
      <c r="AV29" s="66">
        <f>IF($AM$29=TRUE,'Атлант, Великан'!$B$238*'Сроки и стоимость'!$N$75,0)</f>
        <v/>
      </c>
      <c r="AW29" s="66">
        <f>IF($AM$29=TRUE,'Атлант, Великан'!$B$238*'Сроки и стоимость'!$N$75,0)</f>
        <v/>
      </c>
      <c r="AX29" s="66">
        <f>IF($AM$29=TRUE,'Атлант, Великан'!$B$238*'Сроки и стоимость'!$N$75,0)</f>
        <v/>
      </c>
      <c r="AY29" s="66">
        <f>IF($AM$29=TRUE,'Атлант, Великан'!$B$238*'Сроки и стоимость'!$N$75,0)</f>
        <v/>
      </c>
      <c r="AZ29" s="66">
        <f>IF($AM$29=TRUE,'Атлант, Великан'!$B$238*'Сроки и стоимость'!$N$75,0)</f>
        <v/>
      </c>
      <c r="BA29" s="66">
        <f>IF($AM$29=TRUE,'Атлант, Великан'!$B$238*'Сроки и стоимость'!$N$75,0)</f>
        <v/>
      </c>
      <c r="BB29" s="66">
        <f>IF($AM$29=TRUE,'Атлант, Великан'!$B$238*'Сроки и стоимость'!$N$75,0)</f>
        <v/>
      </c>
      <c r="BC29" s="66">
        <f>IF($AM$29=TRUE,'Атлант, Великан'!$B$238*'Сроки и стоимость'!$N$75,0)</f>
        <v/>
      </c>
      <c r="BD29" s="66">
        <f>IF($AM$29=TRUE,'Атлант, Великан'!$B$238*'Сроки и стоимость'!$N$75,0)</f>
        <v/>
      </c>
      <c r="BE29" s="66">
        <f>IF($AM$29=TRUE,'Атлант, Великан'!$B$238*'Сроки и стоимость'!$N$75,0)</f>
        <v/>
      </c>
      <c r="BF29" s="66">
        <f>IF($AM$29=TRUE,'Атлант, Великан'!$B$238*'Сроки и стоимость'!$N$75,0)</f>
        <v/>
      </c>
      <c r="BH29" s="71" t="n"/>
      <c r="BI29" s="66" t="inlineStr">
        <is>
          <t>трехмаршевая</t>
        </is>
      </c>
      <c r="BJ29" s="2">
        <f>AM29</f>
        <v/>
      </c>
      <c r="BK29" s="69" t="n"/>
      <c r="BL29" s="66" t="n"/>
      <c r="BM29" s="66" t="n"/>
      <c r="BN29" s="66" t="n"/>
      <c r="BO29" s="66" t="n"/>
      <c r="BP29" s="66" t="n"/>
      <c r="BQ29" s="66" t="n"/>
      <c r="BR29" s="66" t="n"/>
      <c r="BS29" s="66" t="n"/>
      <c r="BT29" s="66" t="n"/>
      <c r="BU29" s="66" t="n"/>
      <c r="BV29" s="66" t="n"/>
      <c r="BW29" s="66" t="n"/>
      <c r="BX29" s="66" t="n"/>
      <c r="BY29" s="66" t="n"/>
      <c r="BZ29" s="66" t="n"/>
      <c r="CA29" s="66" t="n"/>
      <c r="CB29" s="66" t="n"/>
      <c r="CC29" s="66" t="n"/>
    </row>
    <row r="30" ht="15.75" customHeight="1" thickBot="1">
      <c r="A30" s="3" t="n"/>
      <c r="AE30" s="7" t="n"/>
      <c r="AK30" s="72" t="n"/>
      <c r="AL30" s="73" t="inlineStr">
        <is>
          <t>четырехмаршевая</t>
        </is>
      </c>
      <c r="AM30" s="85" t="b">
        <v>0</v>
      </c>
      <c r="AN30" s="69" t="n"/>
      <c r="AO30" s="66">
        <f>IF($AM$30=TRUE,'Атлант, Великан'!$B$239*'Сроки и стоимость'!$N$77,0)</f>
        <v/>
      </c>
      <c r="AP30" s="66">
        <f>IF($AM$30=TRUE,'Атлант, Великан'!$B$239*'Сроки и стоимость'!$N$77,0)</f>
        <v/>
      </c>
      <c r="AQ30" s="66">
        <f>IF($AM$30=TRUE,'Атлант, Великан'!$B$239*'Сроки и стоимость'!$N$77,0)</f>
        <v/>
      </c>
      <c r="AR30" s="66">
        <f>IF($AM$30=TRUE,'Атлант, Великан'!$B$239*'Сроки и стоимость'!$N$77,0)</f>
        <v/>
      </c>
      <c r="AS30" s="66">
        <f>IF($AM$30=TRUE,'Атлант, Великан'!$B$239*'Сроки и стоимость'!$N$77,0)</f>
        <v/>
      </c>
      <c r="AT30" s="66">
        <f>IF($AM$30=TRUE,'Атлант, Великан'!$B$239*'Сроки и стоимость'!$N$77,0)</f>
        <v/>
      </c>
      <c r="AU30" s="66">
        <f>IF($AM$30=TRUE,'Атлант, Великан'!$B$239*'Сроки и стоимость'!$N$77,0)</f>
        <v/>
      </c>
      <c r="AV30" s="66">
        <f>IF($AM$30=TRUE,'Атлант, Великан'!$B$239*'Сроки и стоимость'!$N$77,0)</f>
        <v/>
      </c>
      <c r="AW30" s="66">
        <f>IF($AM$30=TRUE,'Атлант, Великан'!$B$239*'Сроки и стоимость'!$N$77,0)</f>
        <v/>
      </c>
      <c r="AX30" s="66">
        <f>IF($AM$30=TRUE,'Атлант, Великан'!$B$239*'Сроки и стоимость'!$N$77,0)</f>
        <v/>
      </c>
      <c r="AY30" s="66">
        <f>IF($AM$30=TRUE,'Атлант, Великан'!$B$239*'Сроки и стоимость'!$N$77,0)</f>
        <v/>
      </c>
      <c r="AZ30" s="66">
        <f>IF($AM$30=TRUE,'Атлант, Великан'!$B$239*'Сроки и стоимость'!$N$77,0)</f>
        <v/>
      </c>
      <c r="BA30" s="66">
        <f>IF($AM$30=TRUE,'Атлант, Великан'!$B$239*'Сроки и стоимость'!$N$77,0)</f>
        <v/>
      </c>
      <c r="BB30" s="66">
        <f>IF($AM$30=TRUE,'Атлант, Великан'!$B$239*'Сроки и стоимость'!$N$77,0)</f>
        <v/>
      </c>
      <c r="BC30" s="66">
        <f>IF($AM$30=TRUE,'Атлант, Великан'!$B$239*'Сроки и стоимость'!$N$77,0)</f>
        <v/>
      </c>
      <c r="BD30" s="66">
        <f>IF($AM$30=TRUE,'Атлант, Великан'!$B$239*'Сроки и стоимость'!$N$77,0)</f>
        <v/>
      </c>
      <c r="BE30" s="66">
        <f>IF($AM$30=TRUE,'Атлант, Великан'!$B$239*'Сроки и стоимость'!$N$77,0)</f>
        <v/>
      </c>
      <c r="BF30" s="66">
        <f>IF($AM$30=TRUE,'Атлант, Великан'!$B$239*'Сроки и стоимость'!$N$77,0)</f>
        <v/>
      </c>
      <c r="BH30" s="72" t="n"/>
      <c r="BI30" s="73" t="inlineStr">
        <is>
          <t>четырехмаршевая</t>
        </is>
      </c>
      <c r="BJ30" s="2">
        <f>AM30</f>
        <v/>
      </c>
      <c r="BK30" s="69" t="n"/>
      <c r="BL30" s="66" t="n"/>
      <c r="BM30" s="66" t="n"/>
      <c r="BN30" s="66" t="n"/>
      <c r="BO30" s="66" t="n"/>
      <c r="BP30" s="66" t="n"/>
      <c r="BQ30" s="66" t="n"/>
      <c r="BR30" s="66" t="n"/>
      <c r="BS30" s="66" t="n"/>
      <c r="BT30" s="66" t="n"/>
      <c r="BU30" s="66" t="n"/>
      <c r="BV30" s="66" t="n"/>
      <c r="BW30" s="66" t="n"/>
      <c r="BX30" s="66" t="n"/>
      <c r="BY30" s="66" t="n"/>
      <c r="BZ30" s="66" t="n"/>
      <c r="CA30" s="66" t="n"/>
      <c r="CB30" s="66" t="n"/>
      <c r="CC30" s="66" t="n"/>
    </row>
    <row r="31">
      <c r="A31" s="3" t="n"/>
      <c r="AE31" s="7" t="n"/>
      <c r="AK31" s="67" t="inlineStr">
        <is>
          <t>ограждающие конструкции</t>
        </is>
      </c>
      <c r="AL31" s="68" t="inlineStr">
        <is>
          <t>кровля</t>
        </is>
      </c>
      <c r="AM31" s="83" t="n">
        <v>3</v>
      </c>
      <c r="AN31" s="69" t="n"/>
      <c r="AO31" s="66">
        <f>CHOOSE($AM$31,'Атлант, Великан'!$B$285,'Атлант, Великан'!$B$284,'Атлант, Великан'!$B$285,'Атлант, Великан'!$B$285)</f>
        <v/>
      </c>
      <c r="AP31" s="66">
        <f>CHOOSE($AM$31,'Атлант, Великан'!$B$285,'Атлант, Великан'!$B$284,'Атлант, Великан'!$B$285,'Атлант, Великан'!$B$285)</f>
        <v/>
      </c>
      <c r="AQ31" s="66">
        <f>CHOOSE($AM$31,'Атлант, Великан'!$B$285,'Атлант, Великан'!$B$284,'Атлант, Великан'!$B$285,'Атлант, Великан'!$B$285)</f>
        <v/>
      </c>
      <c r="AR31" s="66">
        <f>CHOOSE($AM$31,'Атлант, Великан'!$B$285,'Атлант, Великан'!$B$284,'Атлант, Великан'!$B$285,'Атлант, Великан'!$B$285)</f>
        <v/>
      </c>
      <c r="AS31" s="66">
        <f>CHOOSE($AM$31,'Атлант, Великан'!$B$285,'Атлант, Великан'!$B$284,'Атлант, Великан'!$B$285,'Атлант, Великан'!$B$285)</f>
        <v/>
      </c>
      <c r="AT31" s="66">
        <f>CHOOSE($AM$31,'Атлант, Великан'!$B$285,'Атлант, Великан'!$B$284,'Атлант, Великан'!$B$285,'Атлант, Великан'!$B$285)</f>
        <v/>
      </c>
      <c r="AU31" s="66">
        <f>CHOOSE($AM$31,'Атлант, Великан'!$B$285,'Атлант, Великан'!$B$284,'Атлант, Великан'!$B$285,'Атлант, Великан'!$B$285)</f>
        <v/>
      </c>
      <c r="AV31" s="66">
        <f>CHOOSE($AM$31,'Атлант, Великан'!$B$285,'Атлант, Великан'!$B$284,'Атлант, Великан'!$B$285,'Атлант, Великан'!$B$285)</f>
        <v/>
      </c>
      <c r="AW31" s="66">
        <f>CHOOSE($AM$31,'Атлант, Великан'!$B$285,'Атлант, Великан'!$B$284,'Атлант, Великан'!$B$285,'Атлант, Великан'!$B$285)</f>
        <v/>
      </c>
      <c r="AX31" s="66">
        <f>CHOOSE($AM$31,'Атлант, Великан'!$B$285,'Атлант, Великан'!$B$284,'Атлант, Великан'!$B$285,'Атлант, Великан'!$B$285)</f>
        <v/>
      </c>
      <c r="AY31" s="66">
        <f>CHOOSE($AM$31,'Атлант, Великан'!$B$285,'Атлант, Великан'!$B$284,'Атлант, Великан'!$B$285,'Атлант, Великан'!$B$285)</f>
        <v/>
      </c>
      <c r="AZ31" s="66">
        <f>CHOOSE($AM$31,'Атлант, Великан'!$B$285,'Атлант, Великан'!$B$284,'Атлант, Великан'!$B$285,'Атлант, Великан'!$B$285)</f>
        <v/>
      </c>
      <c r="BA31" s="66">
        <f>CHOOSE($AM$31,'Атлант, Великан'!$B$285,'Атлант, Великан'!$B$284,'Атлант, Великан'!$B$285,'Атлант, Великан'!$B$285)</f>
        <v/>
      </c>
      <c r="BB31" s="66">
        <f>CHOOSE($AM$31,'Атлант, Великан'!$B$285,'Атлант, Великан'!$B$284,'Атлант, Великан'!$B$285,'Атлант, Великан'!$B$285)</f>
        <v/>
      </c>
      <c r="BC31" s="66">
        <f>CHOOSE($AM$31,'Атлант, Великан'!$B$285,'Атлант, Великан'!$B$284,'Атлант, Великан'!$B$285,'Атлант, Великан'!$B$285)</f>
        <v/>
      </c>
      <c r="BD31" s="66">
        <f>CHOOSE($AM$31,'Атлант, Великан'!$B$285,'Атлант, Великан'!$B$284,'Атлант, Великан'!$B$285,'Атлант, Великан'!$B$285)</f>
        <v/>
      </c>
      <c r="BE31" s="66">
        <f>CHOOSE($AM$31,'Атлант, Великан'!$B$285,'Атлант, Великан'!$B$284,'Атлант, Великан'!$B$285,'Атлант, Великан'!$B$285)</f>
        <v/>
      </c>
      <c r="BF31" s="66">
        <f>CHOOSE($AM$31,'Атлант, Великан'!$B$285,'Атлант, Великан'!$B$284,'Атлант, Великан'!$B$285,'Атлант, Великан'!$B$285)</f>
        <v/>
      </c>
      <c r="BH31" s="67" t="inlineStr">
        <is>
          <t>ограждающие конструкции</t>
        </is>
      </c>
      <c r="BI31" s="68" t="inlineStr">
        <is>
          <t>кровля</t>
        </is>
      </c>
      <c r="BJ31" s="2">
        <f>AM31</f>
        <v/>
      </c>
      <c r="BK31" s="69" t="n"/>
      <c r="BL31" s="66">
        <f>'Атлант, Великан'!$L$476</f>
        <v/>
      </c>
      <c r="BM31" s="66">
        <f>'Атлант, Великан'!$L$476</f>
        <v/>
      </c>
      <c r="BN31" s="66">
        <f>'Атлант, Великан'!$L$476</f>
        <v/>
      </c>
      <c r="BO31" s="66">
        <f>'Атлант, Великан'!$L$476</f>
        <v/>
      </c>
      <c r="BP31" s="66">
        <f>'Атлант, Великан'!$L$476</f>
        <v/>
      </c>
      <c r="BQ31" s="66">
        <f>'Атлант, Великан'!$L$476</f>
        <v/>
      </c>
      <c r="BR31" s="66">
        <f>'Атлант, Великан'!$L$476</f>
        <v/>
      </c>
      <c r="BS31" s="66">
        <f>'Атлант, Великан'!$L$476</f>
        <v/>
      </c>
      <c r="BT31" s="66">
        <f>'Атлант, Великан'!$L$476</f>
        <v/>
      </c>
      <c r="BU31" s="66">
        <f>'Атлант, Великан'!$L$476</f>
        <v/>
      </c>
      <c r="BV31" s="66">
        <f>'Атлант, Великан'!$L$476</f>
        <v/>
      </c>
      <c r="BW31" s="66">
        <f>'Атлант, Великан'!$L$476</f>
        <v/>
      </c>
      <c r="BX31" s="66">
        <f>'Атлант, Великан'!$L$476</f>
        <v/>
      </c>
      <c r="BY31" s="66">
        <f>'Атлант, Великан'!$L$476</f>
        <v/>
      </c>
      <c r="BZ31" s="66">
        <f>'Атлант, Великан'!$L$476</f>
        <v/>
      </c>
      <c r="CA31" s="66">
        <f>'Атлант, Великан'!$L$476</f>
        <v/>
      </c>
      <c r="CB31" s="66">
        <f>'Атлант, Великан'!$L$476</f>
        <v/>
      </c>
      <c r="CC31" s="66">
        <f>'Атлант, Великан'!$L$476</f>
        <v/>
      </c>
    </row>
    <row r="32" ht="7.5" customHeight="1">
      <c r="A32" s="3" t="n"/>
      <c r="AE32" s="7" t="n"/>
      <c r="AK32" s="71" t="n"/>
      <c r="AL32" s="66" t="n"/>
      <c r="AM32" s="84" t="n"/>
      <c r="AN32" s="69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H32" s="71" t="n"/>
      <c r="BI32" s="66" t="n"/>
      <c r="BJ32" s="2">
        <f>AM32</f>
        <v/>
      </c>
      <c r="BK32" s="69" t="n"/>
      <c r="BL32" s="66" t="n"/>
      <c r="BM32" s="66" t="n"/>
      <c r="BN32" s="66" t="n"/>
      <c r="BO32" s="66" t="n"/>
      <c r="BP32" s="66" t="n"/>
      <c r="BQ32" s="66" t="n"/>
      <c r="BR32" s="66" t="n"/>
      <c r="BS32" s="66" t="n"/>
      <c r="BT32" s="66" t="n"/>
      <c r="BU32" s="66" t="n"/>
      <c r="BV32" s="66" t="n"/>
      <c r="BW32" s="66" t="n"/>
      <c r="BX32" s="66" t="n"/>
      <c r="BY32" s="66" t="n"/>
      <c r="BZ32" s="66" t="n"/>
      <c r="CA32" s="66" t="n"/>
      <c r="CB32" s="66" t="n"/>
      <c r="CC32" s="66" t="n"/>
    </row>
    <row r="33">
      <c r="A33" s="3" t="n"/>
      <c r="D33" s="2" t="n">
        <v>1</v>
      </c>
      <c r="AE33" s="7" t="n"/>
      <c r="AK33" s="74" t="n"/>
      <c r="AL33" s="66" t="inlineStr">
        <is>
          <t>снегозадержание</t>
        </is>
      </c>
      <c r="AM33" s="84" t="b">
        <v>0</v>
      </c>
      <c r="AN33" s="69" t="n"/>
      <c r="AO33" s="66">
        <f>IF($AM$33=TRUE,'Атлант, Великан'!$B$289,0)</f>
        <v/>
      </c>
      <c r="AP33" s="66">
        <f>IF($AM$33=TRUE,'Атлант, Великан'!$B$289,0)</f>
        <v/>
      </c>
      <c r="AQ33" s="66">
        <f>IF($AM$33=TRUE,'Атлант, Великан'!$B$289,0)</f>
        <v/>
      </c>
      <c r="AR33" s="66">
        <f>IF($AM$33=TRUE,'Атлант, Великан'!$B$289,0)</f>
        <v/>
      </c>
      <c r="AS33" s="66">
        <f>IF($AM$33=TRUE,'Атлант, Великан'!$B$289,0)</f>
        <v/>
      </c>
      <c r="AT33" s="66">
        <f>IF($AM$33=TRUE,'Атлант, Великан'!$B$289,0)</f>
        <v/>
      </c>
      <c r="AU33" s="66">
        <f>IF($AM$33=TRUE,'Атлант, Великан'!$B$289,0)</f>
        <v/>
      </c>
      <c r="AV33" s="66">
        <f>IF($AM$33=TRUE,'Атлант, Великан'!$B$289,0)</f>
        <v/>
      </c>
      <c r="AW33" s="66">
        <f>IF($AM$33=TRUE,'Атлант, Великан'!$B$289,0)</f>
        <v/>
      </c>
      <c r="AX33" s="66">
        <f>IF($AM$33=TRUE,'Атлант, Великан'!$B$289,0)</f>
        <v/>
      </c>
      <c r="AY33" s="66">
        <f>IF($AM$33=TRUE,'Атлант, Великан'!$B$289,0)</f>
        <v/>
      </c>
      <c r="AZ33" s="66">
        <f>IF($AM$33=TRUE,'Атлант, Великан'!$B$289,0)</f>
        <v/>
      </c>
      <c r="BA33" s="66">
        <f>IF($AM$33=TRUE,'Атлант, Великан'!$B$289,0)</f>
        <v/>
      </c>
      <c r="BB33" s="66">
        <f>IF($AM$33=TRUE,'Атлант, Великан'!$B$289,0)</f>
        <v/>
      </c>
      <c r="BC33" s="66">
        <f>IF($AM$33=TRUE,'Атлант, Великан'!$B$289,0)</f>
        <v/>
      </c>
      <c r="BD33" s="66">
        <f>IF($AM$33=TRUE,'Атлант, Великан'!$B$289,0)</f>
        <v/>
      </c>
      <c r="BE33" s="66">
        <f>IF($AM$33=TRUE,'Атлант, Великан'!$B$289,0)</f>
        <v/>
      </c>
      <c r="BF33" s="66">
        <f>IF($AM$33=TRUE,'Атлант, Великан'!$B$289,0)</f>
        <v/>
      </c>
      <c r="BH33" s="74" t="n"/>
      <c r="BI33" s="66" t="inlineStr">
        <is>
          <t>снегозадержание</t>
        </is>
      </c>
      <c r="BJ33" s="2">
        <f>AM33</f>
        <v/>
      </c>
      <c r="BK33" s="69" t="n"/>
      <c r="BL33" s="66">
        <f>IF($BJ$33=FALSE,0,'Атлант, Великан'!$B$546)</f>
        <v/>
      </c>
      <c r="BM33" s="66">
        <f>IF($BJ$33=FALSE,0,'Атлант, Великан'!$B$546)</f>
        <v/>
      </c>
      <c r="BN33" s="66">
        <f>IF($BJ$33=FALSE,0,'Атлант, Великан'!$B$546)</f>
        <v/>
      </c>
      <c r="BO33" s="66">
        <f>IF($BJ$33=FALSE,0,'Атлант, Великан'!$B$546)</f>
        <v/>
      </c>
      <c r="BP33" s="66">
        <f>IF($BJ$33=FALSE,0,'Атлант, Великан'!$B$546)</f>
        <v/>
      </c>
      <c r="BQ33" s="66">
        <f>IF($BJ$33=FALSE,0,'Атлант, Великан'!$B$546)</f>
        <v/>
      </c>
      <c r="BR33" s="66">
        <f>IF($BJ$33=FALSE,0,'Атлант, Великан'!$B$546)</f>
        <v/>
      </c>
      <c r="BS33" s="66">
        <f>IF($BJ$33=FALSE,0,'Атлант, Великан'!$B$546)</f>
        <v/>
      </c>
      <c r="BT33" s="66">
        <f>IF($BJ$33=FALSE,0,'Атлант, Великан'!$B$546)</f>
        <v/>
      </c>
      <c r="BU33" s="66">
        <f>IF($BJ$33=FALSE,0,'Атлант, Великан'!$B$546)</f>
        <v/>
      </c>
      <c r="BV33" s="66">
        <f>IF($BJ$33=FALSE,0,'Атлант, Великан'!$B$546)</f>
        <v/>
      </c>
      <c r="BW33" s="66">
        <f>IF($BJ$33=FALSE,0,'Атлант, Великан'!$B$546)</f>
        <v/>
      </c>
      <c r="BX33" s="66">
        <f>IF($BJ$33=FALSE,0,'Атлант, Великан'!$B$546)</f>
        <v/>
      </c>
      <c r="BY33" s="66">
        <f>IF($BJ$33=FALSE,0,'Атлант, Великан'!$B$546)</f>
        <v/>
      </c>
      <c r="BZ33" s="66">
        <f>IF($BJ$33=FALSE,0,'Атлант, Великан'!$B$546)</f>
        <v/>
      </c>
      <c r="CA33" s="66">
        <f>IF($BJ$33=FALSE,0,'Атлант, Великан'!$B$546)</f>
        <v/>
      </c>
      <c r="CB33" s="66">
        <f>IF($BJ$33=FALSE,0,'Атлант, Великан'!$B$546)</f>
        <v/>
      </c>
      <c r="CC33" s="66">
        <f>IF($BJ$33=FALSE,0,'Атлант, Великан'!$B$546)</f>
        <v/>
      </c>
    </row>
    <row r="34">
      <c r="A34" s="3" t="n"/>
      <c r="AE34" s="7" t="n"/>
      <c r="AK34" s="71" t="n"/>
      <c r="AL34" s="66" t="inlineStr">
        <is>
          <t>ограждение кровли</t>
        </is>
      </c>
      <c r="AM34" s="84" t="b">
        <v>0</v>
      </c>
      <c r="AN34" s="69" t="n"/>
      <c r="AO34" s="66">
        <f>IF($AM$34=TRUE,'Атлант, Великан'!$B$287,0)</f>
        <v/>
      </c>
      <c r="AP34" s="66">
        <f>IF($AM$34=TRUE,'Атлант, Великан'!$B$287,0)</f>
        <v/>
      </c>
      <c r="AQ34" s="66">
        <f>IF($AM$34=TRUE,'Атлант, Великан'!$B$287,0)</f>
        <v/>
      </c>
      <c r="AR34" s="66">
        <f>IF($AM$34=TRUE,'Атлант, Великан'!$B$287,0)</f>
        <v/>
      </c>
      <c r="AS34" s="66">
        <f>IF($AM$34=TRUE,'Атлант, Великан'!$B$287,0)</f>
        <v/>
      </c>
      <c r="AT34" s="66">
        <f>IF($AM$34=TRUE,'Атлант, Великан'!$B$287,0)</f>
        <v/>
      </c>
      <c r="AU34" s="66">
        <f>IF($AM$34=TRUE,'Атлант, Великан'!$B$287,0)</f>
        <v/>
      </c>
      <c r="AV34" s="66">
        <f>IF($AM$34=TRUE,'Атлант, Великан'!$B$287,0)</f>
        <v/>
      </c>
      <c r="AW34" s="66">
        <f>IF($AM$34=TRUE,'Атлант, Великан'!$B$287,0)</f>
        <v/>
      </c>
      <c r="AX34" s="66">
        <f>IF($AM$34=TRUE,'Атлант, Великан'!$B$287,0)</f>
        <v/>
      </c>
      <c r="AY34" s="66">
        <f>IF($AM$34=TRUE,'Атлант, Великан'!$B$287,0)</f>
        <v/>
      </c>
      <c r="AZ34" s="66">
        <f>IF($AM$34=TRUE,'Атлант, Великан'!$B$287,0)</f>
        <v/>
      </c>
      <c r="BA34" s="66">
        <f>IF($AM$34=TRUE,'Атлант, Великан'!$B$287,0)</f>
        <v/>
      </c>
      <c r="BB34" s="66">
        <f>IF($AM$34=TRUE,'Атлант, Великан'!$B$287,0)</f>
        <v/>
      </c>
      <c r="BC34" s="66">
        <f>IF($AM$34=TRUE,'Атлант, Великан'!$B$287,0)</f>
        <v/>
      </c>
      <c r="BD34" s="66">
        <f>IF($AM$34=TRUE,'Атлант, Великан'!$B$287,0)</f>
        <v/>
      </c>
      <c r="BE34" s="66">
        <f>IF($AM$34=TRUE,'Атлант, Великан'!$B$287,0)</f>
        <v/>
      </c>
      <c r="BF34" s="66">
        <f>IF($AM$34=TRUE,'Атлант, Великан'!$B$287,0)</f>
        <v/>
      </c>
      <c r="BH34" s="71" t="n"/>
      <c r="BI34" s="66" t="inlineStr">
        <is>
          <t>ограждение кровли</t>
        </is>
      </c>
      <c r="BJ34" s="2">
        <f>AM34</f>
        <v/>
      </c>
      <c r="BK34" s="69" t="n"/>
      <c r="BL34" s="66">
        <f>IF($BJ$34=FALSE,0,'Атлант, Великан'!$B$544)</f>
        <v/>
      </c>
      <c r="BM34" s="66">
        <f>IF($BJ$34=FALSE,0,'Атлант, Великан'!$B$544)</f>
        <v/>
      </c>
      <c r="BN34" s="66">
        <f>IF($BJ$34=FALSE,0,'Атлант, Великан'!$B$544)</f>
        <v/>
      </c>
      <c r="BO34" s="66">
        <f>IF($BJ$34=FALSE,0,'Атлант, Великан'!$B$544)</f>
        <v/>
      </c>
      <c r="BP34" s="66">
        <f>IF($BJ$34=FALSE,0,'Атлант, Великан'!$B$544)</f>
        <v/>
      </c>
      <c r="BQ34" s="66">
        <f>IF($BJ$34=FALSE,0,'Атлант, Великан'!$B$544)</f>
        <v/>
      </c>
      <c r="BR34" s="66">
        <f>IF($BJ$34=FALSE,0,'Атлант, Великан'!$B$544)</f>
        <v/>
      </c>
      <c r="BS34" s="66">
        <f>IF($BJ$34=FALSE,0,'Атлант, Великан'!$B$544)</f>
        <v/>
      </c>
      <c r="BT34" s="66">
        <f>IF($BJ$34=FALSE,0,'Атлант, Великан'!$B$544)</f>
        <v/>
      </c>
      <c r="BU34" s="66">
        <f>IF($BJ$34=FALSE,0,'Атлант, Великан'!$B$544)</f>
        <v/>
      </c>
      <c r="BV34" s="66">
        <f>IF($BJ$34=FALSE,0,'Атлант, Великан'!$B$544)</f>
        <v/>
      </c>
      <c r="BW34" s="66">
        <f>IF($BJ$34=FALSE,0,'Атлант, Великан'!$B$544)</f>
        <v/>
      </c>
      <c r="BX34" s="66">
        <f>IF($BJ$34=FALSE,0,'Атлант, Великан'!$B$544)</f>
        <v/>
      </c>
      <c r="BY34" s="66">
        <f>IF($BJ$34=FALSE,0,'Атлант, Великан'!$B$544)</f>
        <v/>
      </c>
      <c r="BZ34" s="66">
        <f>IF($BJ$34=FALSE,0,'Атлант, Великан'!$B$544)</f>
        <v/>
      </c>
      <c r="CA34" s="66">
        <f>IF($BJ$34=FALSE,0,'Атлант, Великан'!$B$544)</f>
        <v/>
      </c>
      <c r="CB34" s="66">
        <f>IF($BJ$34=FALSE,0,'Атлант, Великан'!$B$544)</f>
        <v/>
      </c>
      <c r="CC34" s="66">
        <f>IF($BJ$34=FALSE,0,'Атлант, Великан'!$B$544)</f>
        <v/>
      </c>
    </row>
    <row r="35" ht="13.5" customHeight="1">
      <c r="A35" s="3" t="n"/>
      <c r="B35" s="2" t="n">
        <v>12</v>
      </c>
      <c r="D35" s="2" t="n"/>
      <c r="F35" s="2" t="n"/>
      <c r="H35" s="2" t="n"/>
      <c r="J35" s="2" t="n"/>
      <c r="AE35" s="7" t="n"/>
      <c r="AK35" s="71" t="n"/>
      <c r="AL35" s="66" t="n"/>
      <c r="AM35" s="84" t="n"/>
      <c r="AN35" s="69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H35" s="71" t="n"/>
      <c r="BI35" s="66" t="n"/>
      <c r="BJ35" s="2">
        <f>AM35</f>
        <v/>
      </c>
      <c r="BK35" s="69" t="n"/>
      <c r="BL35" s="66" t="n"/>
      <c r="BM35" s="66" t="n"/>
      <c r="BN35" s="66" t="n"/>
      <c r="BO35" s="66" t="n"/>
      <c r="BP35" s="66" t="n"/>
      <c r="BQ35" s="66" t="n"/>
      <c r="BR35" s="66" t="n"/>
      <c r="BS35" s="66" t="n"/>
      <c r="BT35" s="66" t="n"/>
      <c r="BU35" s="66" t="n"/>
      <c r="BV35" s="66" t="n"/>
      <c r="BW35" s="66" t="n"/>
      <c r="BX35" s="66" t="n"/>
      <c r="BY35" s="66" t="n"/>
      <c r="BZ35" s="66" t="n"/>
      <c r="CA35" s="66" t="n"/>
      <c r="CB35" s="66" t="n"/>
      <c r="CC35" s="66" t="n"/>
    </row>
    <row r="36">
      <c r="A36" s="3" t="n"/>
      <c r="AE36" s="7" t="n"/>
      <c r="AK36" s="71" t="n"/>
      <c r="AL36" s="66" t="inlineStr">
        <is>
          <t>стены</t>
        </is>
      </c>
      <c r="AM36" s="84" t="n">
        <v>3</v>
      </c>
      <c r="AN36" s="69" t="n"/>
      <c r="AO36" s="66">
        <f>'Атлант, Великан'!$L$183</f>
        <v/>
      </c>
      <c r="AP36" s="66">
        <f>'Атлант, Великан'!$L$183</f>
        <v/>
      </c>
      <c r="AQ36" s="66">
        <f>'Атлант, Великан'!$L$183</f>
        <v/>
      </c>
      <c r="AR36" s="66">
        <f>'Атлант, Великан'!$L$183</f>
        <v/>
      </c>
      <c r="AS36" s="66">
        <f>'Атлант, Великан'!$L$183</f>
        <v/>
      </c>
      <c r="AT36" s="66">
        <f>'Атлант, Великан'!$L$183</f>
        <v/>
      </c>
      <c r="AU36" s="66">
        <f>'Атлант, Великан'!$L$183</f>
        <v/>
      </c>
      <c r="AV36" s="66">
        <f>'Атлант, Великан'!$L$183</f>
        <v/>
      </c>
      <c r="AW36" s="66">
        <f>'Атлант, Великан'!$L$183</f>
        <v/>
      </c>
      <c r="AX36" s="66">
        <f>'Атлант, Великан'!$L$183</f>
        <v/>
      </c>
      <c r="AY36" s="66">
        <f>'Атлант, Великан'!$L$183</f>
        <v/>
      </c>
      <c r="AZ36" s="66">
        <f>'Атлант, Великан'!$L$183</f>
        <v/>
      </c>
      <c r="BA36" s="66">
        <f>'Атлант, Великан'!$L$183</f>
        <v/>
      </c>
      <c r="BB36" s="66">
        <f>'Атлант, Великан'!$L$183</f>
        <v/>
      </c>
      <c r="BC36" s="66">
        <f>'Атлант, Великан'!$L$183</f>
        <v/>
      </c>
      <c r="BD36" s="66">
        <f>'Атлант, Великан'!$L$183</f>
        <v/>
      </c>
      <c r="BE36" s="66">
        <f>'Атлант, Великан'!$L$183</f>
        <v/>
      </c>
      <c r="BF36" s="66">
        <f>'Атлант, Великан'!$L$183</f>
        <v/>
      </c>
      <c r="BH36" s="71" t="n"/>
      <c r="BI36" s="66" t="inlineStr">
        <is>
          <t>стены</t>
        </is>
      </c>
      <c r="BJ36" s="2">
        <f>AM36</f>
        <v/>
      </c>
      <c r="BK36" s="69" t="n"/>
      <c r="BL36" s="66">
        <f>'Атлант, Великан'!$L$481</f>
        <v/>
      </c>
      <c r="BM36" s="66">
        <f>'Атлант, Великан'!$L$481</f>
        <v/>
      </c>
      <c r="BN36" s="66">
        <f>'Атлант, Великан'!$L$481</f>
        <v/>
      </c>
      <c r="BO36" s="66">
        <f>'Атлант, Великан'!$L$481</f>
        <v/>
      </c>
      <c r="BP36" s="66">
        <f>'Атлант, Великан'!$L$481</f>
        <v/>
      </c>
      <c r="BQ36" s="66">
        <f>'Атлант, Великан'!$L$481</f>
        <v/>
      </c>
      <c r="BR36" s="66">
        <f>'Атлант, Великан'!$L$481</f>
        <v/>
      </c>
      <c r="BS36" s="66">
        <f>'Атлант, Великан'!$L$481</f>
        <v/>
      </c>
      <c r="BT36" s="66">
        <f>'Атлант, Великан'!$L$481</f>
        <v/>
      </c>
      <c r="BU36" s="66">
        <f>'Атлант, Великан'!$L$481</f>
        <v/>
      </c>
      <c r="BV36" s="66">
        <f>'Атлант, Великан'!$L$481</f>
        <v/>
      </c>
      <c r="BW36" s="66">
        <f>'Атлант, Великан'!$L$481</f>
        <v/>
      </c>
      <c r="BX36" s="66">
        <f>'Атлант, Великан'!$L$481</f>
        <v/>
      </c>
      <c r="BY36" s="66">
        <f>'Атлант, Великан'!$L$481</f>
        <v/>
      </c>
      <c r="BZ36" s="66">
        <f>'Атлант, Великан'!$L$481</f>
        <v/>
      </c>
      <c r="CA36" s="66">
        <f>'Атлант, Великан'!$L$481</f>
        <v/>
      </c>
      <c r="CB36" s="66">
        <f>'Атлант, Великан'!$L$481</f>
        <v/>
      </c>
      <c r="CC36" s="66">
        <f>'Атлант, Великан'!$L$481</f>
        <v/>
      </c>
    </row>
    <row r="37" ht="13.5" customHeight="1">
      <c r="A37" s="3" t="n"/>
      <c r="AE37" s="7" t="n"/>
      <c r="AK37" s="71" t="n"/>
      <c r="AL37" s="66" t="inlineStr">
        <is>
          <t>толщина стен</t>
        </is>
      </c>
      <c r="AM37" s="84" t="n">
        <v>2</v>
      </c>
      <c r="AN37" s="69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H37" s="71" t="n"/>
      <c r="BI37" s="66" t="inlineStr">
        <is>
          <t>толщина стен</t>
        </is>
      </c>
      <c r="BJ37" s="2">
        <f>AM37</f>
        <v/>
      </c>
      <c r="BK37" s="69" t="n"/>
      <c r="BL37" s="66" t="n"/>
      <c r="BM37" s="66" t="n"/>
      <c r="BN37" s="66" t="n"/>
      <c r="BO37" s="66" t="n"/>
      <c r="BP37" s="66" t="n"/>
      <c r="BQ37" s="66" t="n"/>
      <c r="BR37" s="66" t="n"/>
      <c r="BS37" s="66" t="n"/>
      <c r="BT37" s="66" t="n"/>
      <c r="BU37" s="66" t="n"/>
      <c r="BV37" s="66" t="n"/>
      <c r="BW37" s="66" t="n"/>
      <c r="BX37" s="66" t="n"/>
      <c r="BY37" s="66" t="n"/>
      <c r="BZ37" s="66" t="n"/>
      <c r="CA37" s="66" t="n"/>
      <c r="CB37" s="66" t="n"/>
      <c r="CC37" s="66" t="n"/>
    </row>
    <row r="38">
      <c r="A38" s="3" t="n"/>
      <c r="B38" s="90" t="n">
        <v>24.3</v>
      </c>
      <c r="AE38" s="7" t="n"/>
      <c r="AK38" s="71" t="n"/>
      <c r="AL38" s="66" t="inlineStr">
        <is>
          <t>наличие окон</t>
        </is>
      </c>
      <c r="AM38" s="84" t="b">
        <v>1</v>
      </c>
      <c r="AN38" s="69" t="n"/>
      <c r="AO38" s="66">
        <f>'Атлант, Великан'!$L$191</f>
        <v/>
      </c>
      <c r="AP38" s="66">
        <f>'Атлант, Великан'!$L$191</f>
        <v/>
      </c>
      <c r="AQ38" s="66">
        <f>'Атлант, Великан'!$L$191</f>
        <v/>
      </c>
      <c r="AR38" s="66">
        <f>'Атлант, Великан'!$L$191</f>
        <v/>
      </c>
      <c r="AS38" s="66">
        <f>'Атлант, Великан'!$L$191</f>
        <v/>
      </c>
      <c r="AT38" s="66">
        <f>'Атлант, Великан'!$L$191</f>
        <v/>
      </c>
      <c r="AU38" s="66">
        <f>'Атлант, Великан'!$L$191</f>
        <v/>
      </c>
      <c r="AV38" s="66">
        <f>'Атлант, Великан'!$L$191</f>
        <v/>
      </c>
      <c r="AW38" s="66">
        <f>'Атлант, Великан'!$L$191</f>
        <v/>
      </c>
      <c r="AX38" s="66">
        <f>'Атлант, Великан'!$L$191</f>
        <v/>
      </c>
      <c r="AY38" s="66">
        <f>'Атлант, Великан'!$L$191</f>
        <v/>
      </c>
      <c r="AZ38" s="66">
        <f>'Атлант, Великан'!$L$191</f>
        <v/>
      </c>
      <c r="BA38" s="66">
        <f>'Атлант, Великан'!$L$191</f>
        <v/>
      </c>
      <c r="BB38" s="66">
        <f>'Атлант, Великан'!$L$191</f>
        <v/>
      </c>
      <c r="BC38" s="66">
        <f>'Атлант, Великан'!$L$191</f>
        <v/>
      </c>
      <c r="BD38" s="66">
        <f>'Атлант, Великан'!$L$191</f>
        <v/>
      </c>
      <c r="BE38" s="66">
        <f>'Атлант, Великан'!$L$191</f>
        <v/>
      </c>
      <c r="BF38" s="66">
        <f>'Атлант, Великан'!$L$191</f>
        <v/>
      </c>
      <c r="BH38" s="71" t="n"/>
      <c r="BI38" s="66" t="inlineStr">
        <is>
          <t>наличие окон</t>
        </is>
      </c>
      <c r="BJ38" s="2">
        <f>AM38</f>
        <v/>
      </c>
      <c r="BK38" s="69" t="n"/>
      <c r="BL38" s="66">
        <f>'Атлант, Великан'!$G$502</f>
        <v/>
      </c>
      <c r="BM38" s="66">
        <f>'Атлант, Великан'!$G$502</f>
        <v/>
      </c>
      <c r="BN38" s="66">
        <f>'Атлант, Великан'!$G$502</f>
        <v/>
      </c>
      <c r="BO38" s="66">
        <f>'Атлант, Великан'!$G$502</f>
        <v/>
      </c>
      <c r="BP38" s="66">
        <f>'Атлант, Великан'!$G$502</f>
        <v/>
      </c>
      <c r="BQ38" s="66">
        <f>'Атлант, Великан'!$G$502</f>
        <v/>
      </c>
      <c r="BR38" s="66">
        <f>'Атлант, Великан'!$G$502</f>
        <v/>
      </c>
      <c r="BS38" s="66">
        <f>'Атлант, Великан'!$G$502</f>
        <v/>
      </c>
      <c r="BT38" s="66">
        <f>'Атлант, Великан'!$G$502</f>
        <v/>
      </c>
      <c r="BU38" s="66">
        <f>'Атлант, Великан'!$G$502</f>
        <v/>
      </c>
      <c r="BV38" s="66">
        <f>'Атлант, Великан'!$G$502</f>
        <v/>
      </c>
      <c r="BW38" s="66">
        <f>'Атлант, Великан'!$G$502</f>
        <v/>
      </c>
      <c r="BX38" s="66">
        <f>'Атлант, Великан'!$G$502</f>
        <v/>
      </c>
      <c r="BY38" s="66">
        <f>'Атлант, Великан'!$G$502</f>
        <v/>
      </c>
      <c r="BZ38" s="66">
        <f>'Атлант, Великан'!$G$502</f>
        <v/>
      </c>
      <c r="CA38" s="66">
        <f>'Атлант, Великан'!$G$502</f>
        <v/>
      </c>
      <c r="CB38" s="66">
        <f>'Атлант, Великан'!$G$502</f>
        <v/>
      </c>
      <c r="CC38" s="66">
        <f>'Атлант, Великан'!$G$502</f>
        <v/>
      </c>
    </row>
    <row r="39" ht="6" customHeight="1">
      <c r="A39" s="3" t="n"/>
      <c r="AE39" s="7" t="n"/>
      <c r="AK39" s="71" t="n"/>
      <c r="AL39" s="66" t="n"/>
      <c r="AM39" s="84" t="n"/>
      <c r="AN39" s="69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H39" s="71" t="n"/>
      <c r="BI39" s="66" t="n"/>
      <c r="BJ39" s="2">
        <f>AM39</f>
        <v/>
      </c>
      <c r="BK39" s="69" t="n"/>
      <c r="BL39" s="66" t="n"/>
      <c r="BM39" s="66" t="n"/>
      <c r="BN39" s="66" t="n"/>
      <c r="BO39" s="66" t="n"/>
      <c r="BP39" s="66" t="n"/>
      <c r="BQ39" s="66" t="n"/>
      <c r="BR39" s="66" t="n"/>
      <c r="BS39" s="66" t="n"/>
      <c r="BT39" s="66" t="n"/>
      <c r="BU39" s="66" t="n"/>
      <c r="BV39" s="66" t="n"/>
      <c r="BW39" s="66" t="n"/>
      <c r="BX39" s="66" t="n"/>
      <c r="BY39" s="66" t="n"/>
      <c r="BZ39" s="66" t="n"/>
      <c r="CA39" s="66" t="n"/>
      <c r="CB39" s="66" t="n"/>
      <c r="CC39" s="66" t="n"/>
    </row>
    <row r="40">
      <c r="A40" s="3" t="n"/>
      <c r="B40" s="2" t="n">
        <v>6.075</v>
      </c>
      <c r="AE40" s="7" t="n"/>
      <c r="AK40" s="71" t="n"/>
      <c r="AL40" s="66" t="inlineStr">
        <is>
          <t>наличие ворот</t>
        </is>
      </c>
      <c r="AM40" s="84" t="b">
        <v>0</v>
      </c>
      <c r="AN40" s="69" t="n"/>
      <c r="AO40" s="66">
        <f>'Атлант, Великан'!$H$220</f>
        <v/>
      </c>
      <c r="AP40" s="66">
        <f>'Атлант, Великан'!$H$220</f>
        <v/>
      </c>
      <c r="AQ40" s="66">
        <f>'Атлант, Великан'!$H$220</f>
        <v/>
      </c>
      <c r="AR40" s="66">
        <f>'Атлант, Великан'!$H$220</f>
        <v/>
      </c>
      <c r="AS40" s="66">
        <f>'Атлант, Великан'!$H$220</f>
        <v/>
      </c>
      <c r="AT40" s="66">
        <f>'Атлант, Великан'!$H$220</f>
        <v/>
      </c>
      <c r="AU40" s="66">
        <f>'Атлант, Великан'!$H$220</f>
        <v/>
      </c>
      <c r="AV40" s="66">
        <f>'Атлант, Великан'!$H$220</f>
        <v/>
      </c>
      <c r="AW40" s="66">
        <f>'Атлант, Великан'!$H$220</f>
        <v/>
      </c>
      <c r="AX40" s="66">
        <f>'Атлант, Великан'!$H$220</f>
        <v/>
      </c>
      <c r="AY40" s="66">
        <f>'Атлант, Великан'!$H$220</f>
        <v/>
      </c>
      <c r="AZ40" s="66">
        <f>'Атлант, Великан'!$H$220</f>
        <v/>
      </c>
      <c r="BA40" s="66">
        <f>'Атлант, Великан'!$H$220</f>
        <v/>
      </c>
      <c r="BB40" s="66">
        <f>'Атлант, Великан'!$H$220</f>
        <v/>
      </c>
      <c r="BC40" s="66">
        <f>'Атлант, Великан'!$H$220</f>
        <v/>
      </c>
      <c r="BD40" s="66">
        <f>'Атлант, Великан'!$H$220</f>
        <v/>
      </c>
      <c r="BE40" s="66">
        <f>'Атлант, Великан'!$H$220</f>
        <v/>
      </c>
      <c r="BF40" s="66">
        <f>'Атлант, Великан'!$H$220</f>
        <v/>
      </c>
      <c r="BH40" s="71" t="n"/>
      <c r="BI40" s="66" t="inlineStr">
        <is>
          <t>наличие ворот</t>
        </is>
      </c>
      <c r="BJ40" s="2">
        <f>AM40</f>
        <v/>
      </c>
      <c r="BK40" s="69" t="n"/>
      <c r="BL40" s="66">
        <f>'Атлант, Великан'!$G$508</f>
        <v/>
      </c>
      <c r="BM40" s="66">
        <f>'Атлант, Великан'!$G$508</f>
        <v/>
      </c>
      <c r="BN40" s="66">
        <f>'Атлант, Великан'!$G$508</f>
        <v/>
      </c>
      <c r="BO40" s="66">
        <f>'Атлант, Великан'!$G$508</f>
        <v/>
      </c>
      <c r="BP40" s="66">
        <f>'Атлант, Великан'!$G$508</f>
        <v/>
      </c>
      <c r="BQ40" s="66">
        <f>'Атлант, Великан'!$G$508</f>
        <v/>
      </c>
      <c r="BR40" s="66">
        <f>'Атлант, Великан'!$G$508</f>
        <v/>
      </c>
      <c r="BS40" s="66">
        <f>'Атлант, Великан'!$G$508</f>
        <v/>
      </c>
      <c r="BT40" s="66">
        <f>'Атлант, Великан'!$G$508</f>
        <v/>
      </c>
      <c r="BU40" s="66">
        <f>'Атлант, Великан'!$G$508</f>
        <v/>
      </c>
      <c r="BV40" s="66">
        <f>'Атлант, Великан'!$G$508</f>
        <v/>
      </c>
      <c r="BW40" s="66">
        <f>'Атлант, Великан'!$G$508</f>
        <v/>
      </c>
      <c r="BX40" s="66">
        <f>'Атлант, Великан'!$G$508</f>
        <v/>
      </c>
      <c r="BY40" s="66">
        <f>'Атлант, Великан'!$G$508</f>
        <v/>
      </c>
      <c r="BZ40" s="66">
        <f>'Атлант, Великан'!$G$508</f>
        <v/>
      </c>
      <c r="CA40" s="66">
        <f>'Атлант, Великан'!$G$508</f>
        <v/>
      </c>
      <c r="CB40" s="66">
        <f>'Атлант, Великан'!$G$508</f>
        <v/>
      </c>
      <c r="CC40" s="66">
        <f>'Атлант, Великан'!$G$508</f>
        <v/>
      </c>
    </row>
    <row r="41" ht="15.75" customHeight="1" thickBot="1">
      <c r="A41" s="3" t="n"/>
      <c r="AE41" s="7" t="n"/>
      <c r="AK41" s="72" t="n"/>
      <c r="AL41" s="73" t="inlineStr">
        <is>
          <t>наличие дверей</t>
        </is>
      </c>
      <c r="AM41" s="85" t="b">
        <v>1</v>
      </c>
      <c r="AN41" s="69" t="n"/>
      <c r="AO41" s="66">
        <f>'Атлант, Великан'!$L$194</f>
        <v/>
      </c>
      <c r="AP41" s="66">
        <f>'Атлант, Великан'!$L$194</f>
        <v/>
      </c>
      <c r="AQ41" s="66">
        <f>'Атлант, Великан'!$L$194</f>
        <v/>
      </c>
      <c r="AR41" s="66">
        <f>'Атлант, Великан'!$L$194</f>
        <v/>
      </c>
      <c r="AS41" s="66">
        <f>'Атлант, Великан'!$L$194</f>
        <v/>
      </c>
      <c r="AT41" s="66">
        <f>'Атлант, Великан'!$L$194</f>
        <v/>
      </c>
      <c r="AU41" s="66">
        <f>'Атлант, Великан'!$L$194</f>
        <v/>
      </c>
      <c r="AV41" s="66">
        <f>'Атлант, Великан'!$L$194</f>
        <v/>
      </c>
      <c r="AW41" s="66">
        <f>'Атлант, Великан'!$L$194</f>
        <v/>
      </c>
      <c r="AX41" s="66">
        <f>'Атлант, Великан'!$L$194</f>
        <v/>
      </c>
      <c r="AY41" s="66">
        <f>'Атлант, Великан'!$L$194</f>
        <v/>
      </c>
      <c r="AZ41" s="66">
        <f>'Атлант, Великан'!$L$194</f>
        <v/>
      </c>
      <c r="BA41" s="66">
        <f>'Атлант, Великан'!$L$194</f>
        <v/>
      </c>
      <c r="BB41" s="66">
        <f>'Атлант, Великан'!$L$194</f>
        <v/>
      </c>
      <c r="BC41" s="66">
        <f>'Атлант, Великан'!$L$194</f>
        <v/>
      </c>
      <c r="BD41" s="66">
        <f>'Атлант, Великан'!$L$194</f>
        <v/>
      </c>
      <c r="BE41" s="66">
        <f>'Атлант, Великан'!$L$194</f>
        <v/>
      </c>
      <c r="BF41" s="66">
        <f>'Атлант, Великан'!$L$194</f>
        <v/>
      </c>
      <c r="BH41" s="72" t="n"/>
      <c r="BI41" s="73" t="inlineStr">
        <is>
          <t>наличие дверей</t>
        </is>
      </c>
      <c r="BJ41" s="2">
        <f>AM41</f>
        <v/>
      </c>
      <c r="BK41" s="69" t="n"/>
      <c r="BL41" s="66">
        <f>'Атлант, Великан'!$G$505</f>
        <v/>
      </c>
      <c r="BM41" s="66">
        <f>'Атлант, Великан'!$G$505</f>
        <v/>
      </c>
      <c r="BN41" s="66">
        <f>'Атлант, Великан'!$G$505</f>
        <v/>
      </c>
      <c r="BO41" s="66">
        <f>'Атлант, Великан'!$G$505</f>
        <v/>
      </c>
      <c r="BP41" s="66">
        <f>'Атлант, Великан'!$G$505</f>
        <v/>
      </c>
      <c r="BQ41" s="66">
        <f>'Атлант, Великан'!$G$505</f>
        <v/>
      </c>
      <c r="BR41" s="66">
        <f>'Атлант, Великан'!$G$505</f>
        <v/>
      </c>
      <c r="BS41" s="66">
        <f>'Атлант, Великан'!$G$505</f>
        <v/>
      </c>
      <c r="BT41" s="66">
        <f>'Атлант, Великан'!$G$505</f>
        <v/>
      </c>
      <c r="BU41" s="66">
        <f>'Атлант, Великан'!$G$505</f>
        <v/>
      </c>
      <c r="BV41" s="66">
        <f>'Атлант, Великан'!$G$505</f>
        <v/>
      </c>
      <c r="BW41" s="66">
        <f>'Атлант, Великан'!$G$505</f>
        <v/>
      </c>
      <c r="BX41" s="66">
        <f>'Атлант, Великан'!$G$505</f>
        <v/>
      </c>
      <c r="BY41" s="66">
        <f>'Атлант, Великан'!$G$505</f>
        <v/>
      </c>
      <c r="BZ41" s="66">
        <f>'Атлант, Великан'!$G$505</f>
        <v/>
      </c>
      <c r="CA41" s="66">
        <f>'Атлант, Великан'!$G$505</f>
        <v/>
      </c>
      <c r="CB41" s="66">
        <f>'Атлант, Великан'!$G$505</f>
        <v/>
      </c>
      <c r="CC41" s="66">
        <f>'Атлант, Великан'!$G$505</f>
        <v/>
      </c>
    </row>
    <row r="42">
      <c r="A42" s="3" t="n"/>
      <c r="AE42" s="7" t="n"/>
      <c r="AK42" s="67" t="inlineStr">
        <is>
          <t>перегородки</t>
        </is>
      </c>
      <c r="AL42" s="68" t="inlineStr">
        <is>
          <t>гвл</t>
        </is>
      </c>
      <c r="AM42" s="83" t="b">
        <v>1</v>
      </c>
      <c r="AN42" s="69" t="n"/>
      <c r="AO42" s="66">
        <f>'Атлант, Великан'!$I$276</f>
        <v/>
      </c>
      <c r="AP42" s="66">
        <f>'Атлант, Великан'!$I$276</f>
        <v/>
      </c>
      <c r="AQ42" s="66">
        <f>'Атлант, Великан'!$I$276</f>
        <v/>
      </c>
      <c r="AR42" s="66">
        <f>'Атлант, Великан'!$I$276</f>
        <v/>
      </c>
      <c r="AS42" s="66">
        <f>'Атлант, Великан'!$I$276</f>
        <v/>
      </c>
      <c r="AT42" s="66">
        <f>'Атлант, Великан'!$I$276</f>
        <v/>
      </c>
      <c r="AU42" s="66">
        <f>'Атлант, Великан'!$I$276</f>
        <v/>
      </c>
      <c r="AV42" s="66">
        <f>'Атлант, Великан'!$I$276</f>
        <v/>
      </c>
      <c r="AW42" s="66">
        <f>'Атлант, Великан'!$I$276</f>
        <v/>
      </c>
      <c r="AX42" s="66">
        <f>'Атлант, Великан'!$I$276</f>
        <v/>
      </c>
      <c r="AY42" s="66">
        <f>'Атлант, Великан'!$I$276</f>
        <v/>
      </c>
      <c r="AZ42" s="66">
        <f>'Атлант, Великан'!$I$276</f>
        <v/>
      </c>
      <c r="BA42" s="66">
        <f>'Атлант, Великан'!$I$276</f>
        <v/>
      </c>
      <c r="BB42" s="66">
        <f>'Атлант, Великан'!$I$276</f>
        <v/>
      </c>
      <c r="BC42" s="66">
        <f>'Атлант, Великан'!$I$276</f>
        <v/>
      </c>
      <c r="BD42" s="66">
        <f>'Атлант, Великан'!$I$276</f>
        <v/>
      </c>
      <c r="BE42" s="66">
        <f>'Атлант, Великан'!$I$276</f>
        <v/>
      </c>
      <c r="BF42" s="66">
        <f>'Атлант, Великан'!$I$276</f>
        <v/>
      </c>
      <c r="BH42" s="67" t="inlineStr">
        <is>
          <t>перегородки</t>
        </is>
      </c>
      <c r="BI42" s="68" t="inlineStr">
        <is>
          <t>гвл</t>
        </is>
      </c>
      <c r="BJ42" s="2">
        <f>AM42</f>
        <v/>
      </c>
      <c r="BK42" s="69" t="n"/>
      <c r="BL42" s="66">
        <f>'Атлант, Великан'!$I$537</f>
        <v/>
      </c>
      <c r="BM42" s="66">
        <f>'Атлант, Великан'!$I$537</f>
        <v/>
      </c>
      <c r="BN42" s="66">
        <f>'Атлант, Великан'!$I$537</f>
        <v/>
      </c>
      <c r="BO42" s="66">
        <f>'Атлант, Великан'!$I$537</f>
        <v/>
      </c>
      <c r="BP42" s="66">
        <f>'Атлант, Великан'!$I$537</f>
        <v/>
      </c>
      <c r="BQ42" s="66">
        <f>'Атлант, Великан'!$I$537</f>
        <v/>
      </c>
      <c r="BR42" s="66">
        <f>'Атлант, Великан'!$I$537</f>
        <v/>
      </c>
      <c r="BS42" s="66">
        <f>'Атлант, Великан'!$I$537</f>
        <v/>
      </c>
      <c r="BT42" s="66">
        <f>'Атлант, Великан'!$I$537</f>
        <v/>
      </c>
      <c r="BU42" s="66">
        <f>'Атлант, Великан'!$I$537</f>
        <v/>
      </c>
      <c r="BV42" s="66">
        <f>'Атлант, Великан'!$I$537</f>
        <v/>
      </c>
      <c r="BW42" s="66">
        <f>'Атлант, Великан'!$I$537</f>
        <v/>
      </c>
      <c r="BX42" s="66">
        <f>'Атлант, Великан'!$I$537</f>
        <v/>
      </c>
      <c r="BY42" s="66">
        <f>'Атлант, Великан'!$I$537</f>
        <v/>
      </c>
      <c r="BZ42" s="66">
        <f>'Атлант, Великан'!$I$537</f>
        <v/>
      </c>
      <c r="CA42" s="66">
        <f>'Атлант, Великан'!$I$537</f>
        <v/>
      </c>
      <c r="CB42" s="66">
        <f>'Атлант, Великан'!$I$537</f>
        <v/>
      </c>
      <c r="CC42" s="66">
        <f>'Атлант, Великан'!$I$537</f>
        <v/>
      </c>
    </row>
    <row r="43">
      <c r="A43" s="3" t="n"/>
      <c r="F43" s="2" t="n">
        <v>3.15</v>
      </c>
      <c r="AE43" s="7" t="n"/>
      <c r="AK43" s="71" t="n"/>
      <c r="AL43" s="66" t="inlineStr">
        <is>
          <t>сендвич-панели послойной сборки</t>
        </is>
      </c>
      <c r="AM43" s="84" t="b">
        <v>0</v>
      </c>
      <c r="AN43" s="69" t="n"/>
      <c r="AO43" s="66">
        <f>'Атлант, Великан'!$I$268</f>
        <v/>
      </c>
      <c r="AP43" s="66">
        <f>'Атлант, Великан'!$I$268</f>
        <v/>
      </c>
      <c r="AQ43" s="66">
        <f>'Атлант, Великан'!$I$268</f>
        <v/>
      </c>
      <c r="AR43" s="66">
        <f>'Атлант, Великан'!$I$268</f>
        <v/>
      </c>
      <c r="AS43" s="66">
        <f>'Атлант, Великан'!$I$268</f>
        <v/>
      </c>
      <c r="AT43" s="66">
        <f>'Атлант, Великан'!$I$268</f>
        <v/>
      </c>
      <c r="AU43" s="66">
        <f>'Атлант, Великан'!$I$268</f>
        <v/>
      </c>
      <c r="AV43" s="66">
        <f>'Атлант, Великан'!$I$268</f>
        <v/>
      </c>
      <c r="AW43" s="66">
        <f>'Атлант, Великан'!$I$268</f>
        <v/>
      </c>
      <c r="AX43" s="66">
        <f>'Атлант, Великан'!$I$268</f>
        <v/>
      </c>
      <c r="AY43" s="66">
        <f>'Атлант, Великан'!$I$268</f>
        <v/>
      </c>
      <c r="AZ43" s="66">
        <f>'Атлант, Великан'!$I$268</f>
        <v/>
      </c>
      <c r="BA43" s="66">
        <f>'Атлант, Великан'!$I$268</f>
        <v/>
      </c>
      <c r="BB43" s="66">
        <f>'Атлант, Великан'!$I$268</f>
        <v/>
      </c>
      <c r="BC43" s="66">
        <f>'Атлант, Великан'!$I$268</f>
        <v/>
      </c>
      <c r="BD43" s="66">
        <f>'Атлант, Великан'!$I$268</f>
        <v/>
      </c>
      <c r="BE43" s="66">
        <f>'Атлант, Великан'!$I$268</f>
        <v/>
      </c>
      <c r="BF43" s="66">
        <f>'Атлант, Великан'!$I$268</f>
        <v/>
      </c>
      <c r="BH43" s="71" t="n"/>
      <c r="BI43" s="66" t="inlineStr">
        <is>
          <t>сендвич-панели послойной сборки</t>
        </is>
      </c>
      <c r="BJ43" s="2">
        <f>AM43</f>
        <v/>
      </c>
      <c r="BK43" s="69" t="n"/>
      <c r="BL43" s="66">
        <f>'Атлант, Великан'!$I$532</f>
        <v/>
      </c>
      <c r="BM43" s="66">
        <f>'Атлант, Великан'!$I$532</f>
        <v/>
      </c>
      <c r="BN43" s="66">
        <f>'Атлант, Великан'!$I$532</f>
        <v/>
      </c>
      <c r="BO43" s="66">
        <f>'Атлант, Великан'!$I$532</f>
        <v/>
      </c>
      <c r="BP43" s="66">
        <f>'Атлант, Великан'!$I$532</f>
        <v/>
      </c>
      <c r="BQ43" s="66">
        <f>'Атлант, Великан'!$I$532</f>
        <v/>
      </c>
      <c r="BR43" s="66">
        <f>'Атлант, Великан'!$I$532</f>
        <v/>
      </c>
      <c r="BS43" s="66">
        <f>'Атлант, Великан'!$I$532</f>
        <v/>
      </c>
      <c r="BT43" s="66">
        <f>'Атлант, Великан'!$I$532</f>
        <v/>
      </c>
      <c r="BU43" s="66">
        <f>'Атлант, Великан'!$I$532</f>
        <v/>
      </c>
      <c r="BV43" s="66">
        <f>'Атлант, Великан'!$I$532</f>
        <v/>
      </c>
      <c r="BW43" s="66">
        <f>'Атлант, Великан'!$I$532</f>
        <v/>
      </c>
      <c r="BX43" s="66">
        <f>'Атлант, Великан'!$I$532</f>
        <v/>
      </c>
      <c r="BY43" s="66">
        <f>'Атлант, Великан'!$I$532</f>
        <v/>
      </c>
      <c r="BZ43" s="66">
        <f>'Атлант, Великан'!$I$532</f>
        <v/>
      </c>
      <c r="CA43" s="66">
        <f>'Атлант, Великан'!$I$532</f>
        <v/>
      </c>
      <c r="CB43" s="66">
        <f>'Атлант, Великан'!$I$532</f>
        <v/>
      </c>
      <c r="CC43" s="66">
        <f>'Атлант, Великан'!$I$532</f>
        <v/>
      </c>
    </row>
    <row r="44" ht="15.75" customHeight="1" thickBot="1">
      <c r="A44" s="3" t="n"/>
      <c r="AE44" s="7" t="n"/>
      <c r="AK44" s="72" t="n"/>
      <c r="AL44" s="73" t="inlineStr">
        <is>
          <t>сендвич-панели заводского изготовления</t>
        </is>
      </c>
      <c r="AM44" s="85" t="b">
        <v>0</v>
      </c>
      <c r="AN44" s="69" t="n"/>
      <c r="AO44" s="66">
        <f>'Атлант, Великан'!$I$260</f>
        <v/>
      </c>
      <c r="AP44" s="66">
        <f>'Атлант, Великан'!$I$260</f>
        <v/>
      </c>
      <c r="AQ44" s="66">
        <f>'Атлант, Великан'!$I$260</f>
        <v/>
      </c>
      <c r="AR44" s="66">
        <f>'Атлант, Великан'!$I$260</f>
        <v/>
      </c>
      <c r="AS44" s="66">
        <f>'Атлант, Великан'!$I$260</f>
        <v/>
      </c>
      <c r="AT44" s="66">
        <f>'Атлант, Великан'!$I$260</f>
        <v/>
      </c>
      <c r="AU44" s="66">
        <f>'Атлант, Великан'!$I$260</f>
        <v/>
      </c>
      <c r="AV44" s="66">
        <f>'Атлант, Великан'!$I$260</f>
        <v/>
      </c>
      <c r="AW44" s="66">
        <f>'Атлант, Великан'!$I$260</f>
        <v/>
      </c>
      <c r="AX44" s="66">
        <f>'Атлант, Великан'!$I$260</f>
        <v/>
      </c>
      <c r="AY44" s="66">
        <f>'Атлант, Великан'!$I$260</f>
        <v/>
      </c>
      <c r="AZ44" s="66">
        <f>'Атлант, Великан'!$I$260</f>
        <v/>
      </c>
      <c r="BA44" s="66">
        <f>'Атлант, Великан'!$I$260</f>
        <v/>
      </c>
      <c r="BB44" s="66">
        <f>'Атлант, Великан'!$I$260</f>
        <v/>
      </c>
      <c r="BC44" s="66">
        <f>'Атлант, Великан'!$I$260</f>
        <v/>
      </c>
      <c r="BD44" s="66">
        <f>'Атлант, Великан'!$I$260</f>
        <v/>
      </c>
      <c r="BE44" s="66">
        <f>'Атлант, Великан'!$I$260</f>
        <v/>
      </c>
      <c r="BF44" s="66">
        <f>'Атлант, Великан'!$I$260</f>
        <v/>
      </c>
      <c r="BH44" s="72" t="n"/>
      <c r="BI44" s="73" t="inlineStr">
        <is>
          <t>сендвич-панели заводского изготовления</t>
        </is>
      </c>
      <c r="BJ44" s="2">
        <f>AM44</f>
        <v/>
      </c>
      <c r="BK44" s="69" t="n"/>
      <c r="BL44" s="66">
        <f>'Атлант, Великан'!$I$527</f>
        <v/>
      </c>
      <c r="BM44" s="66">
        <f>'Атлант, Великан'!$I$527</f>
        <v/>
      </c>
      <c r="BN44" s="66">
        <f>'Атлант, Великан'!$I$527</f>
        <v/>
      </c>
      <c r="BO44" s="66">
        <f>'Атлант, Великан'!$I$527</f>
        <v/>
      </c>
      <c r="BP44" s="66">
        <f>'Атлант, Великан'!$I$527</f>
        <v/>
      </c>
      <c r="BQ44" s="66">
        <f>'Атлант, Великан'!$I$527</f>
        <v/>
      </c>
      <c r="BR44" s="66">
        <f>'Атлант, Великан'!$I$527</f>
        <v/>
      </c>
      <c r="BS44" s="66">
        <f>'Атлант, Великан'!$I$527</f>
        <v/>
      </c>
      <c r="BT44" s="66">
        <f>'Атлант, Великан'!$I$527</f>
        <v/>
      </c>
      <c r="BU44" s="66">
        <f>'Атлант, Великан'!$I$527</f>
        <v/>
      </c>
      <c r="BV44" s="66">
        <f>'Атлант, Великан'!$I$527</f>
        <v/>
      </c>
      <c r="BW44" s="66">
        <f>'Атлант, Великан'!$I$527</f>
        <v/>
      </c>
      <c r="BX44" s="66">
        <f>'Атлант, Великан'!$I$527</f>
        <v/>
      </c>
      <c r="BY44" s="66">
        <f>'Атлант, Великан'!$I$527</f>
        <v/>
      </c>
      <c r="BZ44" s="66">
        <f>'Атлант, Великан'!$I$527</f>
        <v/>
      </c>
      <c r="CA44" s="66">
        <f>'Атлант, Великан'!$I$527</f>
        <v/>
      </c>
      <c r="CB44" s="66">
        <f>'Атлант, Великан'!$I$527</f>
        <v/>
      </c>
      <c r="CC44" s="66">
        <f>'Атлант, Великан'!$I$527</f>
        <v/>
      </c>
    </row>
    <row r="45">
      <c r="A45" s="3" t="n"/>
      <c r="AE45" s="7" t="n"/>
      <c r="AK45" s="67" t="inlineStr">
        <is>
          <t>проемы в перегородках</t>
        </is>
      </c>
      <c r="AL45" s="68" t="inlineStr">
        <is>
          <t>окна двери</t>
        </is>
      </c>
      <c r="AM45" s="83" t="b">
        <v>1</v>
      </c>
      <c r="AN45" s="69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H45" s="67" t="inlineStr">
        <is>
          <t>проемы в перегородках</t>
        </is>
      </c>
      <c r="BI45" s="68" t="inlineStr">
        <is>
          <t>окна двери</t>
        </is>
      </c>
      <c r="BJ45" s="2">
        <f>AM45</f>
        <v/>
      </c>
      <c r="BK45" s="69" t="n"/>
      <c r="BL45" s="66" t="n"/>
      <c r="BM45" s="66" t="n"/>
      <c r="BN45" s="66" t="n"/>
      <c r="BO45" s="66" t="n"/>
      <c r="BP45" s="66" t="n"/>
      <c r="BQ45" s="66" t="n"/>
      <c r="BR45" s="66" t="n"/>
      <c r="BS45" s="66" t="n"/>
      <c r="BT45" s="66" t="n"/>
      <c r="BU45" s="66" t="n"/>
      <c r="BV45" s="66" t="n"/>
      <c r="BW45" s="66" t="n"/>
      <c r="BX45" s="66" t="n"/>
      <c r="BY45" s="66" t="n"/>
      <c r="BZ45" s="66" t="n"/>
      <c r="CA45" s="66" t="n"/>
      <c r="CB45" s="66" t="n"/>
      <c r="CC45" s="66" t="n"/>
    </row>
    <row r="46" ht="15.75" customHeight="1" thickBot="1">
      <c r="A46" s="3" t="n"/>
      <c r="B46" s="2" t="n"/>
      <c r="D46" s="2" t="n"/>
      <c r="F46" s="2" t="n"/>
      <c r="H46" s="2" t="n"/>
      <c r="J46" s="2" t="n"/>
      <c r="L46" s="2" t="n"/>
      <c r="AE46" s="7" t="n"/>
      <c r="AK46" s="72" t="n"/>
      <c r="AL46" s="73" t="inlineStr">
        <is>
          <t>ворота</t>
        </is>
      </c>
      <c r="AM46" s="85" t="b">
        <v>0</v>
      </c>
      <c r="AN46" s="69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H46" s="72" t="n"/>
      <c r="BI46" s="73" t="inlineStr">
        <is>
          <t>ворота</t>
        </is>
      </c>
      <c r="BJ46" s="2">
        <f>AM46</f>
        <v/>
      </c>
      <c r="BK46" s="69" t="n"/>
      <c r="BL46" s="66" t="n"/>
      <c r="BM46" s="66" t="n"/>
      <c r="BN46" s="66" t="n"/>
      <c r="BO46" s="66" t="n"/>
      <c r="BP46" s="66" t="n"/>
      <c r="BQ46" s="66" t="n"/>
      <c r="BR46" s="66" t="n"/>
      <c r="BS46" s="66" t="n"/>
      <c r="BT46" s="66" t="n"/>
      <c r="BU46" s="66" t="n"/>
      <c r="BV46" s="66" t="n"/>
      <c r="BW46" s="66" t="n"/>
      <c r="BX46" s="66" t="n"/>
      <c r="BY46" s="66" t="n"/>
      <c r="BZ46" s="66" t="n"/>
      <c r="CA46" s="66" t="n"/>
      <c r="CB46" s="66" t="n"/>
      <c r="CC46" s="66" t="n"/>
    </row>
    <row r="47">
      <c r="A47" s="3" t="n"/>
      <c r="AE47" s="7" t="n"/>
      <c r="AK47" s="75" t="n"/>
      <c r="AL47" s="75" t="inlineStr">
        <is>
          <t>за пролеты по ширине</t>
        </is>
      </c>
      <c r="AM47" s="89" t="n"/>
      <c r="AN47" s="66" t="n"/>
      <c r="AO47" s="66">
        <f>Спринт!H8</f>
        <v/>
      </c>
      <c r="AP47" s="66">
        <f>Спринт!H44</f>
        <v/>
      </c>
      <c r="AQ47" s="66">
        <f>Спринт!H20</f>
        <v/>
      </c>
      <c r="AR47" s="66">
        <f>Спринт!H56</f>
        <v/>
      </c>
      <c r="AS47" s="66">
        <f>'Атлант, Великан'!N135</f>
        <v/>
      </c>
      <c r="AT47" s="66">
        <f>'Атлант, Великан'!N135</f>
        <v/>
      </c>
      <c r="AU47" s="66">
        <f>'Атлант, Великан'!N135</f>
        <v/>
      </c>
      <c r="AV47" s="66">
        <f>'Атлант, Великан'!N135</f>
        <v/>
      </c>
      <c r="AW47" s="66">
        <f>'Атлант, Великан'!N144</f>
        <v/>
      </c>
      <c r="AX47" s="66">
        <f>'Атлант, Великан'!N144</f>
        <v/>
      </c>
      <c r="AY47" s="66">
        <f>'Атлант, Великан'!N144</f>
        <v/>
      </c>
      <c r="AZ47" s="66">
        <f>'Атлант, Великан'!N144</f>
        <v/>
      </c>
      <c r="BA47" s="66">
        <f>'Атлант, Великан'!N153</f>
        <v/>
      </c>
      <c r="BB47" s="66">
        <f>'Атлант, Великан'!N153</f>
        <v/>
      </c>
      <c r="BC47" s="66">
        <f>'Атлант, Великан'!N153</f>
        <v/>
      </c>
      <c r="BD47" s="66">
        <f>'Атлант, Великан'!N153</f>
        <v/>
      </c>
      <c r="BE47" s="66">
        <f>Спринт!H32</f>
        <v/>
      </c>
      <c r="BF47" s="66">
        <f>Спринт!H68</f>
        <v/>
      </c>
      <c r="BH47" s="75" t="n"/>
      <c r="BI47" s="75" t="inlineStr">
        <is>
          <t>за пролеты по ширине</t>
        </is>
      </c>
      <c r="BJ47" s="2">
        <f>AM47</f>
        <v/>
      </c>
      <c r="BK47" s="69" t="n"/>
      <c r="BL47" s="66" t="n"/>
      <c r="BM47" s="66" t="n"/>
      <c r="BN47" s="66" t="n"/>
      <c r="BO47" s="66" t="n"/>
      <c r="BP47" s="66" t="n"/>
      <c r="BQ47" s="66" t="n"/>
      <c r="BR47" s="66" t="n"/>
      <c r="BS47" s="66" t="n"/>
      <c r="BT47" s="66" t="n"/>
      <c r="BU47" s="66" t="n"/>
      <c r="BV47" s="66" t="n"/>
      <c r="BW47" s="66" t="n"/>
      <c r="BX47" s="66" t="n"/>
      <c r="BY47" s="66" t="n"/>
      <c r="BZ47" s="66" t="n"/>
      <c r="CA47" s="66" t="n"/>
      <c r="CB47" s="66" t="n"/>
      <c r="CC47" s="66" t="n"/>
    </row>
    <row r="48">
      <c r="A48" s="3" t="n"/>
      <c r="AE48" s="7" t="n"/>
      <c r="AK48" s="66" t="n"/>
      <c r="AL48" s="66" t="inlineStr">
        <is>
          <t>за длину</t>
        </is>
      </c>
      <c r="AM48" s="87" t="n"/>
      <c r="AN48" s="66" t="n"/>
      <c r="AO48" s="66">
        <f>Спринт!H76</f>
        <v/>
      </c>
      <c r="AP48" s="66">
        <f>Спринт!H76</f>
        <v/>
      </c>
      <c r="AQ48" s="66">
        <f>Спринт!H76</f>
        <v/>
      </c>
      <c r="AR48" s="66">
        <f>Спринт!H76</f>
        <v/>
      </c>
      <c r="AS48" s="66">
        <f>'Атлант, Великан'!I159</f>
        <v/>
      </c>
      <c r="AT48" s="66">
        <f>'Атлант, Великан'!I159</f>
        <v/>
      </c>
      <c r="AU48" s="66">
        <f>'Атлант, Великан'!I159</f>
        <v/>
      </c>
      <c r="AV48" s="66">
        <f>'Атлант, Великан'!I159</f>
        <v/>
      </c>
      <c r="AW48" s="66">
        <f>'Атлант, Великан'!I159</f>
        <v/>
      </c>
      <c r="AX48" s="66">
        <f>'Атлант, Великан'!I159</f>
        <v/>
      </c>
      <c r="AY48" s="66">
        <f>'Атлант, Великан'!I159</f>
        <v/>
      </c>
      <c r="AZ48" s="66">
        <f>'Атлант, Великан'!I159</f>
        <v/>
      </c>
      <c r="BA48" s="66">
        <f>'Атлант, Великан'!I159</f>
        <v/>
      </c>
      <c r="BB48" s="66">
        <f>'Атлант, Великан'!I159</f>
        <v/>
      </c>
      <c r="BC48" s="66">
        <f>'Атлант, Великан'!I159</f>
        <v/>
      </c>
      <c r="BD48" s="66">
        <f>'Атлант, Великан'!I159</f>
        <v/>
      </c>
      <c r="BE48" s="66">
        <f>Спринт!H76</f>
        <v/>
      </c>
      <c r="BF48" s="66">
        <f>Спринт!H76</f>
        <v/>
      </c>
      <c r="BH48" s="66" t="n"/>
      <c r="BI48" s="66" t="inlineStr">
        <is>
          <t>за длину</t>
        </is>
      </c>
      <c r="BJ48" s="2">
        <f>AM48</f>
        <v/>
      </c>
      <c r="BK48" s="69" t="n"/>
      <c r="BL48" s="66" t="n"/>
      <c r="BM48" s="66" t="n"/>
      <c r="BN48" s="66" t="n"/>
      <c r="BO48" s="66" t="n"/>
      <c r="BP48" s="66" t="n"/>
      <c r="BQ48" s="66" t="n"/>
      <c r="BR48" s="66" t="n"/>
      <c r="BS48" s="66" t="n"/>
      <c r="BT48" s="66" t="n"/>
      <c r="BU48" s="66" t="n"/>
      <c r="BV48" s="66" t="n"/>
      <c r="BW48" s="66" t="n"/>
      <c r="BX48" s="66" t="n"/>
      <c r="BY48" s="66" t="n"/>
      <c r="BZ48" s="66" t="n"/>
      <c r="CA48" s="66" t="n"/>
      <c r="CB48" s="66" t="n"/>
      <c r="CC48" s="66" t="n"/>
    </row>
    <row r="49" ht="4.5" customHeight="1">
      <c r="A49" s="3" t="n"/>
      <c r="AE49" s="7" t="n"/>
      <c r="AK49" s="66" t="n"/>
      <c r="AL49" s="66" t="n"/>
      <c r="AM49" s="2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H49" s="66" t="n"/>
      <c r="BI49" s="66" t="n"/>
      <c r="BJ49" s="2">
        <f>AM49</f>
        <v/>
      </c>
      <c r="BK49" s="69" t="n"/>
      <c r="BL49" s="66" t="n"/>
      <c r="BM49" s="66" t="n"/>
      <c r="BN49" s="66" t="n"/>
      <c r="BO49" s="66" t="n"/>
      <c r="BP49" s="66" t="n"/>
      <c r="BQ49" s="66" t="n"/>
      <c r="BR49" s="66" t="n"/>
      <c r="BS49" s="66" t="n"/>
      <c r="BT49" s="66" t="n"/>
      <c r="BU49" s="66" t="n"/>
      <c r="BV49" s="66" t="n"/>
      <c r="BW49" s="66" t="n"/>
      <c r="BX49" s="66" t="n"/>
      <c r="BY49" s="66" t="n"/>
      <c r="BZ49" s="66" t="n"/>
      <c r="CA49" s="66" t="n"/>
      <c r="CB49" s="66" t="n"/>
      <c r="CC49" s="66" t="n"/>
    </row>
    <row r="50">
      <c r="A50" s="3" t="n"/>
      <c r="B50" s="2" t="n"/>
      <c r="F50" s="2" t="n"/>
      <c r="L50" s="2" t="n"/>
      <c r="AE50" s="7" t="n"/>
      <c r="AK50" s="66" t="n"/>
      <c r="AL50" s="66" t="inlineStr">
        <is>
          <t>сейсмика глобальная</t>
        </is>
      </c>
      <c r="AM50" s="2" t="n"/>
      <c r="AN50" s="66" t="n"/>
      <c r="AO50" s="70">
        <f>IF($AM$6=1,1,'Атлант, Великан'!$B$169)</f>
        <v/>
      </c>
      <c r="AP50" s="70">
        <f>IF($AM$6=1,1,'Атлант, Великан'!$B$169)</f>
        <v/>
      </c>
      <c r="AQ50" s="70">
        <f>IF($AM$6=1,1,'Атлант, Великан'!$B$169)</f>
        <v/>
      </c>
      <c r="AR50" s="70">
        <f>IF($AM$6=1,1,'Атлант, Великан'!$B$169)</f>
        <v/>
      </c>
      <c r="AS50" s="70">
        <f>IF($AM$6=1,1,'Атлант, Великан'!$B$169)</f>
        <v/>
      </c>
      <c r="AT50" s="70">
        <f>IF($AM$6=1,1,'Атлант, Великан'!$B$169)</f>
        <v/>
      </c>
      <c r="AU50" s="70">
        <f>IF($AM$6=1,1,'Атлант, Великан'!$B$169)</f>
        <v/>
      </c>
      <c r="AV50" s="70">
        <f>IF($AM$6=1,1,'Атлант, Великан'!$B$169)</f>
        <v/>
      </c>
      <c r="AW50" s="70">
        <f>IF($AM$6=1,1,'Атлант, Великан'!$B$169)</f>
        <v/>
      </c>
      <c r="AX50" s="70">
        <f>IF($AM$6=1,1,'Атлант, Великан'!$B$169)</f>
        <v/>
      </c>
      <c r="AY50" s="70">
        <f>IF($AM$6=1,1,'Атлант, Великан'!$B$169)</f>
        <v/>
      </c>
      <c r="AZ50" s="70">
        <f>IF($AM$6=1,1,'Атлант, Великан'!$B$169)</f>
        <v/>
      </c>
      <c r="BA50" s="70">
        <f>IF($AM$6=1,1,'Атлант, Великан'!$B$169)</f>
        <v/>
      </c>
      <c r="BB50" s="70">
        <f>IF($AM$6=1,1,'Атлант, Великан'!$B$169)</f>
        <v/>
      </c>
      <c r="BC50" s="70">
        <f>IF($AM$6=1,1,'Атлант, Великан'!$B$169)</f>
        <v/>
      </c>
      <c r="BD50" s="70">
        <f>IF($AM$6=1,1,'Атлант, Великан'!$B$169)</f>
        <v/>
      </c>
      <c r="BE50" s="70">
        <f>IF($AM$6=1,1,'Атлант, Великан'!$B$169)</f>
        <v/>
      </c>
      <c r="BF50" s="70">
        <f>IF($AM$6=1,1,'Атлант, Великан'!$B$169)</f>
        <v/>
      </c>
      <c r="BH50" s="66" t="n"/>
      <c r="BI50" s="66" t="inlineStr">
        <is>
          <t>сейсмика глобальная</t>
        </is>
      </c>
      <c r="BJ50" s="2">
        <f>AM50</f>
        <v/>
      </c>
      <c r="BK50" s="69" t="n"/>
      <c r="BL50" s="70" t="n">
        <v>1</v>
      </c>
      <c r="BM50" s="70" t="n">
        <v>1</v>
      </c>
      <c r="BN50" s="70" t="n">
        <v>1</v>
      </c>
      <c r="BO50" s="70" t="n">
        <v>1</v>
      </c>
      <c r="BP50" s="70" t="n">
        <v>1</v>
      </c>
      <c r="BQ50" s="70" t="n">
        <v>1</v>
      </c>
      <c r="BR50" s="70" t="n">
        <v>1</v>
      </c>
      <c r="BS50" s="70" t="n">
        <v>1</v>
      </c>
      <c r="BT50" s="70" t="n">
        <v>1</v>
      </c>
      <c r="BU50" s="70" t="n">
        <v>1</v>
      </c>
      <c r="BV50" s="70" t="n">
        <v>1</v>
      </c>
      <c r="BW50" s="70" t="n">
        <v>1</v>
      </c>
      <c r="BX50" s="70" t="n">
        <v>1</v>
      </c>
      <c r="BY50" s="70" t="n">
        <v>1</v>
      </c>
      <c r="BZ50" s="70" t="n">
        <v>1</v>
      </c>
      <c r="CA50" s="70" t="n">
        <v>1</v>
      </c>
      <c r="CB50" s="70" t="n">
        <v>1</v>
      </c>
      <c r="CC50" s="70" t="n">
        <v>1</v>
      </c>
    </row>
    <row r="51">
      <c r="A51" s="3" t="n"/>
      <c r="W51" s="2" t="n">
        <v>13</v>
      </c>
      <c r="AE51" s="7" t="n"/>
      <c r="AK51" s="66" t="n"/>
      <c r="AL51" s="66" t="n"/>
      <c r="AM51" s="2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H51" s="66" t="n"/>
      <c r="BI51" s="66" t="n"/>
      <c r="BJ51" s="2">
        <f>AM51</f>
        <v/>
      </c>
      <c r="BK51" s="69" t="n"/>
      <c r="BL51" s="66" t="n"/>
      <c r="BM51" s="66" t="n"/>
      <c r="BN51" s="66" t="n"/>
      <c r="BO51" s="66" t="n"/>
      <c r="BP51" s="66" t="n"/>
      <c r="BQ51" s="66" t="n"/>
      <c r="BR51" s="66" t="n"/>
      <c r="BS51" s="66" t="n"/>
      <c r="BT51" s="66" t="n"/>
      <c r="BU51" s="66" t="n"/>
      <c r="BV51" s="66" t="n"/>
      <c r="BW51" s="66" t="n"/>
      <c r="BX51" s="66" t="n"/>
      <c r="BY51" s="66" t="n"/>
      <c r="BZ51" s="66" t="n"/>
      <c r="CA51" s="66" t="n"/>
      <c r="CB51" s="66" t="n"/>
      <c r="CC51" s="66" t="n"/>
    </row>
    <row r="52" ht="3.75" customHeight="1">
      <c r="A52" s="3" t="n"/>
      <c r="AE52" s="7" t="n"/>
      <c r="AK52" s="66" t="n"/>
      <c r="AL52" s="66" t="n"/>
      <c r="AM52" s="2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H52" s="66" t="n"/>
      <c r="BI52" s="66" t="n"/>
      <c r="BJ52" s="2">
        <f>AM52</f>
        <v/>
      </c>
      <c r="BK52" s="69" t="n"/>
      <c r="BL52" s="66" t="n"/>
      <c r="BM52" s="66" t="n"/>
      <c r="BN52" s="66" t="n"/>
      <c r="BO52" s="66" t="n"/>
      <c r="BP52" s="66" t="n"/>
      <c r="BQ52" s="66" t="n"/>
      <c r="BR52" s="66" t="n"/>
      <c r="BS52" s="66" t="n"/>
      <c r="BT52" s="66" t="n"/>
      <c r="BU52" s="66" t="n"/>
      <c r="BV52" s="66" t="n"/>
      <c r="BW52" s="66" t="n"/>
      <c r="BX52" s="66" t="n"/>
      <c r="BY52" s="66" t="n"/>
      <c r="BZ52" s="66" t="n"/>
      <c r="CA52" s="66" t="n"/>
      <c r="CB52" s="66" t="n"/>
      <c r="CC52" s="66" t="n"/>
    </row>
    <row r="53">
      <c r="A53" s="3" t="n"/>
      <c r="W53" s="2" t="n">
        <v>3</v>
      </c>
      <c r="AE53" s="7" t="n"/>
      <c r="AK53" s="66" t="inlineStr">
        <is>
          <t>перекрытие</t>
        </is>
      </c>
      <c r="AL53" s="66" t="inlineStr">
        <is>
          <t>по ширине</t>
        </is>
      </c>
      <c r="AM53" s="2" t="n"/>
      <c r="AN53" s="66" t="n"/>
      <c r="AO53" s="66">
        <f>'Атлант, Великан'!$N$246</f>
        <v/>
      </c>
      <c r="AP53" s="66">
        <f>'Атлант, Великан'!$N$246</f>
        <v/>
      </c>
      <c r="AQ53" s="66">
        <f>'Атлант, Великан'!$N$246</f>
        <v/>
      </c>
      <c r="AR53" s="66">
        <f>'Атлант, Великан'!$N$246</f>
        <v/>
      </c>
      <c r="AS53" s="66">
        <f>'Атлант, Великан'!$N$246</f>
        <v/>
      </c>
      <c r="AT53" s="66">
        <f>'Атлант, Великан'!$N$246</f>
        <v/>
      </c>
      <c r="AU53" s="66">
        <f>'Атлант, Великан'!$N$246</f>
        <v/>
      </c>
      <c r="AV53" s="66">
        <f>'Атлант, Великан'!$N$246</f>
        <v/>
      </c>
      <c r="AW53" s="66">
        <f>'Атлант, Великан'!$N$246</f>
        <v/>
      </c>
      <c r="AX53" s="66">
        <f>'Атлант, Великан'!$N$246</f>
        <v/>
      </c>
      <c r="AY53" s="66">
        <f>'Атлант, Великан'!$N$246</f>
        <v/>
      </c>
      <c r="AZ53" s="66">
        <f>'Атлант, Великан'!$N$246</f>
        <v/>
      </c>
      <c r="BA53" s="66">
        <f>'Атлант, Великан'!$N$246</f>
        <v/>
      </c>
      <c r="BB53" s="66">
        <f>'Атлант, Великан'!$N$246</f>
        <v/>
      </c>
      <c r="BC53" s="66">
        <f>'Атлант, Великан'!$N$246</f>
        <v/>
      </c>
      <c r="BD53" s="66">
        <f>'Атлант, Великан'!$N$246</f>
        <v/>
      </c>
      <c r="BE53" s="66">
        <f>'Атлант, Великан'!$N$246</f>
        <v/>
      </c>
      <c r="BF53" s="66">
        <f>'Атлант, Великан'!$N$246</f>
        <v/>
      </c>
      <c r="BH53" s="66" t="inlineStr">
        <is>
          <t>перекрытие</t>
        </is>
      </c>
      <c r="BI53" s="66" t="inlineStr">
        <is>
          <t>по ширине</t>
        </is>
      </c>
      <c r="BJ53" s="2">
        <f>AM53</f>
        <v/>
      </c>
      <c r="BK53" s="69" t="n"/>
      <c r="BL53" s="66" t="n"/>
      <c r="BM53" s="66" t="n"/>
      <c r="BN53" s="66" t="n"/>
      <c r="BO53" s="66" t="n"/>
      <c r="BP53" s="66" t="n"/>
      <c r="BQ53" s="66" t="n"/>
      <c r="BR53" s="66" t="n"/>
      <c r="BS53" s="66" t="n"/>
      <c r="BT53" s="66" t="n"/>
      <c r="BU53" s="66" t="n"/>
      <c r="BV53" s="66" t="n"/>
      <c r="BW53" s="66" t="n"/>
      <c r="BX53" s="66" t="n"/>
      <c r="BY53" s="66" t="n"/>
      <c r="BZ53" s="66" t="n"/>
      <c r="CA53" s="66" t="n"/>
      <c r="CB53" s="66" t="n"/>
      <c r="CC53" s="66" t="n"/>
    </row>
    <row r="54">
      <c r="A54" s="3" t="n"/>
      <c r="B54" s="2" t="n"/>
      <c r="F54" s="2" t="n"/>
      <c r="L54" s="2" t="n"/>
      <c r="AE54" s="7" t="n"/>
      <c r="AK54" s="66" t="n"/>
      <c r="AL54" s="66" t="inlineStr">
        <is>
          <t>по длине</t>
        </is>
      </c>
      <c r="AM54" s="2" t="n"/>
      <c r="AN54" s="66" t="n"/>
      <c r="AO54" s="66">
        <f>'Атлант, Великан'!$J$249</f>
        <v/>
      </c>
      <c r="AP54" s="66">
        <f>'Атлант, Великан'!$J$249</f>
        <v/>
      </c>
      <c r="AQ54" s="66">
        <f>'Атлант, Великан'!$J$249</f>
        <v/>
      </c>
      <c r="AR54" s="66">
        <f>'Атлант, Великан'!$J$249</f>
        <v/>
      </c>
      <c r="AS54" s="66">
        <f>'Атлант, Великан'!$J$249</f>
        <v/>
      </c>
      <c r="AT54" s="66">
        <f>'Атлант, Великан'!$J$249</f>
        <v/>
      </c>
      <c r="AU54" s="66">
        <f>'Атлант, Великан'!$J$249</f>
        <v/>
      </c>
      <c r="AV54" s="66">
        <f>'Атлант, Великан'!$J$249</f>
        <v/>
      </c>
      <c r="AW54" s="66">
        <f>'Атлант, Великан'!$J$249</f>
        <v/>
      </c>
      <c r="AX54" s="66">
        <f>'Атлант, Великан'!$J$249</f>
        <v/>
      </c>
      <c r="AY54" s="66">
        <f>'Атлант, Великан'!$J$249</f>
        <v/>
      </c>
      <c r="AZ54" s="66">
        <f>'Атлант, Великан'!$J$249</f>
        <v/>
      </c>
      <c r="BA54" s="66">
        <f>'Атлант, Великан'!$J$249</f>
        <v/>
      </c>
      <c r="BB54" s="66">
        <f>'Атлант, Великан'!$J$249</f>
        <v/>
      </c>
      <c r="BC54" s="66">
        <f>'Атлант, Великан'!$J$249</f>
        <v/>
      </c>
      <c r="BD54" s="66">
        <f>'Атлант, Великан'!$J$249</f>
        <v/>
      </c>
      <c r="BE54" s="66">
        <f>'Атлант, Великан'!$J$249</f>
        <v/>
      </c>
      <c r="BF54" s="66">
        <f>'Атлант, Великан'!$J$249</f>
        <v/>
      </c>
      <c r="BH54" s="66" t="n"/>
      <c r="BI54" s="66" t="inlineStr">
        <is>
          <t>по длине</t>
        </is>
      </c>
      <c r="BJ54" s="2">
        <f>AM54</f>
        <v/>
      </c>
      <c r="BK54" s="69" t="n"/>
      <c r="BL54" s="66" t="n"/>
      <c r="BM54" s="66" t="n"/>
      <c r="BN54" s="66" t="n"/>
      <c r="BO54" s="66" t="n"/>
      <c r="BP54" s="66" t="n"/>
      <c r="BQ54" s="66" t="n"/>
      <c r="BR54" s="66" t="n"/>
      <c r="BS54" s="66" t="n"/>
      <c r="BT54" s="66" t="n"/>
      <c r="BU54" s="66" t="n"/>
      <c r="BV54" s="66" t="n"/>
      <c r="BW54" s="66" t="n"/>
      <c r="BX54" s="66" t="n"/>
      <c r="BY54" s="66" t="n"/>
      <c r="BZ54" s="66" t="n"/>
      <c r="CA54" s="66" t="n"/>
      <c r="CB54" s="66" t="n"/>
      <c r="CC54" s="66" t="n"/>
    </row>
    <row r="55">
      <c r="A55" s="3" t="n"/>
      <c r="AE55" s="7" t="n"/>
      <c r="AK55" s="66" t="inlineStr">
        <is>
          <t>антресоли</t>
        </is>
      </c>
      <c r="AL55" s="66" t="inlineStr">
        <is>
          <t>по ширине</t>
        </is>
      </c>
      <c r="AM55" s="2" t="n"/>
      <c r="AN55" s="66" t="n"/>
      <c r="AO55" s="66">
        <f>'Атлант, Великан'!$L$255</f>
        <v/>
      </c>
      <c r="AP55" s="66">
        <f>'Атлант, Великан'!$L$255</f>
        <v/>
      </c>
      <c r="AQ55" s="66">
        <f>'Атлант, Великан'!$L$255</f>
        <v/>
      </c>
      <c r="AR55" s="66">
        <f>'Атлант, Великан'!$L$255</f>
        <v/>
      </c>
      <c r="AS55" s="66">
        <f>'Атлант, Великан'!$L$255</f>
        <v/>
      </c>
      <c r="AT55" s="66">
        <f>'Атлант, Великан'!$L$255</f>
        <v/>
      </c>
      <c r="AU55" s="66">
        <f>'Атлант, Великан'!$L$255</f>
        <v/>
      </c>
      <c r="AV55" s="66">
        <f>'Атлант, Великан'!$L$255</f>
        <v/>
      </c>
      <c r="AW55" s="66">
        <f>'Атлант, Великан'!$L$255</f>
        <v/>
      </c>
      <c r="AX55" s="66">
        <f>'Атлант, Великан'!$L$255</f>
        <v/>
      </c>
      <c r="AY55" s="66">
        <f>'Атлант, Великан'!$L$255</f>
        <v/>
      </c>
      <c r="AZ55" s="66">
        <f>'Атлант, Великан'!$L$255</f>
        <v/>
      </c>
      <c r="BA55" s="66">
        <f>'Атлант, Великан'!$L$255</f>
        <v/>
      </c>
      <c r="BB55" s="66">
        <f>'Атлант, Великан'!$L$255</f>
        <v/>
      </c>
      <c r="BC55" s="66">
        <f>'Атлант, Великан'!$L$255</f>
        <v/>
      </c>
      <c r="BD55" s="66">
        <f>'Атлант, Великан'!$L$255</f>
        <v/>
      </c>
      <c r="BE55" s="66">
        <f>'Атлант, Великан'!$L$255</f>
        <v/>
      </c>
      <c r="BF55" s="66">
        <f>'Атлант, Великан'!$L$255</f>
        <v/>
      </c>
      <c r="BH55" s="66" t="inlineStr">
        <is>
          <t>антресоли</t>
        </is>
      </c>
      <c r="BI55" s="66" t="inlineStr">
        <is>
          <t>по ширине</t>
        </is>
      </c>
      <c r="BJ55" s="2">
        <f>AM55</f>
        <v/>
      </c>
      <c r="BK55" s="69" t="n"/>
      <c r="BL55" s="66" t="n"/>
      <c r="BM55" s="66" t="n"/>
      <c r="BN55" s="66" t="n"/>
      <c r="BO55" s="66" t="n"/>
      <c r="BP55" s="66" t="n"/>
      <c r="BQ55" s="66" t="n"/>
      <c r="BR55" s="66" t="n"/>
      <c r="BS55" s="66" t="n"/>
      <c r="BT55" s="66" t="n"/>
      <c r="BU55" s="66" t="n"/>
      <c r="BV55" s="66" t="n"/>
      <c r="BW55" s="66" t="n"/>
      <c r="BX55" s="66" t="n"/>
      <c r="BY55" s="66" t="n"/>
      <c r="BZ55" s="66" t="n"/>
      <c r="CA55" s="66" t="n"/>
      <c r="CB55" s="66" t="n"/>
      <c r="CC55" s="66" t="n"/>
    </row>
    <row r="56">
      <c r="A56" s="3" t="n"/>
      <c r="W56" s="2" t="n"/>
      <c r="AE56" s="7" t="n"/>
      <c r="AK56" s="66" t="n"/>
      <c r="AL56" s="66" t="inlineStr">
        <is>
          <t>по длине</t>
        </is>
      </c>
      <c r="AM56" s="2" t="n"/>
      <c r="AN56" s="66" t="n"/>
      <c r="AO56" s="66">
        <f>'Атлант, Великан'!$L$258</f>
        <v/>
      </c>
      <c r="AP56" s="66">
        <f>'Атлант, Великан'!$L$258</f>
        <v/>
      </c>
      <c r="AQ56" s="66">
        <f>'Атлант, Великан'!$L$258</f>
        <v/>
      </c>
      <c r="AR56" s="66">
        <f>'Атлант, Великан'!$L$258</f>
        <v/>
      </c>
      <c r="AS56" s="66">
        <f>'Атлант, Великан'!$L$258</f>
        <v/>
      </c>
      <c r="AT56" s="66">
        <f>'Атлант, Великан'!$L$258</f>
        <v/>
      </c>
      <c r="AU56" s="66">
        <f>'Атлант, Великан'!$L$258</f>
        <v/>
      </c>
      <c r="AV56" s="66">
        <f>'Атлант, Великан'!$L$258</f>
        <v/>
      </c>
      <c r="AW56" s="66">
        <f>'Атлант, Великан'!$L$258</f>
        <v/>
      </c>
      <c r="AX56" s="66">
        <f>'Атлант, Великан'!$L$258</f>
        <v/>
      </c>
      <c r="AY56" s="66">
        <f>'Атлант, Великан'!$L$258</f>
        <v/>
      </c>
      <c r="AZ56" s="66">
        <f>'Атлант, Великан'!$L$258</f>
        <v/>
      </c>
      <c r="BA56" s="66">
        <f>'Атлант, Великан'!$L$258</f>
        <v/>
      </c>
      <c r="BB56" s="66">
        <f>'Атлант, Великан'!$L$258</f>
        <v/>
      </c>
      <c r="BC56" s="66">
        <f>'Атлант, Великан'!$L$258</f>
        <v/>
      </c>
      <c r="BD56" s="66">
        <f>'Атлант, Великан'!$L$258</f>
        <v/>
      </c>
      <c r="BE56" s="66">
        <f>'Атлант, Великан'!$L$258</f>
        <v/>
      </c>
      <c r="BF56" s="66">
        <f>'Атлант, Великан'!$L$258</f>
        <v/>
      </c>
      <c r="BH56" s="66" t="n"/>
      <c r="BI56" s="66" t="inlineStr">
        <is>
          <t>по длине</t>
        </is>
      </c>
      <c r="BJ56" s="2">
        <f>AM56</f>
        <v/>
      </c>
      <c r="BK56" s="69" t="n"/>
      <c r="BL56" s="66" t="n"/>
      <c r="BM56" s="66" t="n"/>
      <c r="BN56" s="66" t="n"/>
      <c r="BO56" s="66" t="n"/>
      <c r="BP56" s="66" t="n"/>
      <c r="BQ56" s="66" t="n"/>
      <c r="BR56" s="66" t="n"/>
      <c r="BS56" s="66" t="n"/>
      <c r="BT56" s="66" t="n"/>
      <c r="BU56" s="66" t="n"/>
      <c r="BV56" s="66" t="n"/>
      <c r="BW56" s="66" t="n"/>
      <c r="BX56" s="66" t="n"/>
      <c r="BY56" s="66" t="n"/>
      <c r="BZ56" s="66" t="n"/>
      <c r="CA56" s="66" t="n"/>
      <c r="CB56" s="66" t="n"/>
      <c r="CC56" s="66" t="n"/>
    </row>
    <row r="57" ht="3.75" customHeight="1">
      <c r="A57" s="3" t="n"/>
      <c r="AE57" s="7" t="n"/>
      <c r="AK57" s="66" t="n"/>
      <c r="AL57" s="66" t="n"/>
      <c r="AM57" s="2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H57" s="66" t="n"/>
      <c r="BI57" s="66" t="n"/>
      <c r="BJ57" s="2">
        <f>AM57</f>
        <v/>
      </c>
      <c r="BK57" s="69" t="n"/>
      <c r="BL57" s="66" t="n"/>
      <c r="BM57" s="66" t="n"/>
      <c r="BN57" s="66" t="n"/>
      <c r="BO57" s="66" t="n"/>
      <c r="BP57" s="66" t="n"/>
      <c r="BQ57" s="66" t="n"/>
      <c r="BR57" s="66" t="n"/>
      <c r="BS57" s="66" t="n"/>
      <c r="BT57" s="66" t="n"/>
      <c r="BU57" s="66" t="n"/>
      <c r="BV57" s="66" t="n"/>
      <c r="BW57" s="66" t="n"/>
      <c r="BX57" s="66" t="n"/>
      <c r="BY57" s="66" t="n"/>
      <c r="BZ57" s="66" t="n"/>
      <c r="CA57" s="66" t="n"/>
      <c r="CB57" s="66" t="n"/>
      <c r="CC57" s="66" t="n"/>
    </row>
    <row r="58">
      <c r="A58" s="3" t="n"/>
      <c r="B58" s="2" t="n"/>
      <c r="F58" s="2" t="n"/>
      <c r="L58" s="2" t="n"/>
      <c r="W58" s="2" t="n"/>
      <c r="AE58" s="7" t="n"/>
      <c r="AK58" s="66" t="n"/>
      <c r="AL58" s="66" t="inlineStr">
        <is>
          <t>за высоту</t>
        </is>
      </c>
      <c r="AM58" s="2" t="n"/>
      <c r="AN58" s="66" t="n"/>
      <c r="AO58" s="66">
        <f>Спринт!H12</f>
        <v/>
      </c>
      <c r="AP58" s="66">
        <f>Спринт!H48</f>
        <v/>
      </c>
      <c r="AQ58" s="66">
        <f>Спринт!H24</f>
        <v/>
      </c>
      <c r="AR58" s="66">
        <f>Спринт!H60</f>
        <v/>
      </c>
      <c r="AS58" s="66">
        <f>IF($D$33&lt;=1,'Атлант, Великан'!$J$11,'Атлант, Великан'!$J$46)</f>
        <v/>
      </c>
      <c r="AT58" s="66">
        <f>IF($D$33&lt;=1,'Атлант, Великан'!$J$26,'Атлант, Великан'!$J$71)</f>
        <v/>
      </c>
      <c r="AU58" s="66">
        <f>IF($D$33&lt;=1,'Атлант, Великан'!$J$94,'Атлант, Великан'!$J$95)</f>
        <v/>
      </c>
      <c r="AV58" s="66">
        <f>IF($D$33&lt;=1,'Атлант, Великан'!$J$118,'Атлант, Великан'!$J$119)</f>
        <v/>
      </c>
      <c r="AW58" s="66">
        <f>IF($D$33&lt;=1,'Атлант, Великан'!$J$11,'Атлант, Великан'!$J$46)</f>
        <v/>
      </c>
      <c r="AX58" s="66">
        <f>IF($D$33&lt;=1,'Атлант, Великан'!$J$26,'Атлант, Великан'!$J$71)</f>
        <v/>
      </c>
      <c r="AY58" s="66">
        <f>IF($D$33&lt;=1,'Атлант, Великан'!$J$94,'Атлант, Великан'!$J$95)</f>
        <v/>
      </c>
      <c r="AZ58" s="66">
        <f>IF($D$33&lt;=1,'Атлант, Великан'!$J$118,'Атлант, Великан'!$J$119)</f>
        <v/>
      </c>
      <c r="BA58" s="66">
        <f>IF($D$33&lt;=1,'Атлант, Великан'!$J$11,'Атлант, Великан'!$J$46)</f>
        <v/>
      </c>
      <c r="BB58" s="66">
        <f>IF($D$33&lt;=1,'Атлант, Великан'!$J$26,'Атлант, Великан'!$J$71)</f>
        <v/>
      </c>
      <c r="BC58" s="66">
        <f>IF($D$33&lt;=1,'Атлант, Великан'!$J$94,'Атлант, Великан'!$J$95)</f>
        <v/>
      </c>
      <c r="BD58" s="66">
        <f>IF($D$33&lt;=1,'Атлант, Великан'!$J$118,'Атлант, Великан'!$J$119)</f>
        <v/>
      </c>
      <c r="BE58" s="66">
        <f>Спринт!H36</f>
        <v/>
      </c>
      <c r="BF58" s="66">
        <f>Спринт!H72</f>
        <v/>
      </c>
      <c r="BH58" s="66" t="n"/>
      <c r="BI58" s="66" t="inlineStr">
        <is>
          <t>за высоту</t>
        </is>
      </c>
      <c r="BJ58" s="2">
        <f>AM58</f>
        <v/>
      </c>
      <c r="BK58" s="69" t="n"/>
      <c r="BL58" s="66" t="n"/>
      <c r="BM58" s="66" t="n"/>
      <c r="BN58" s="66" t="n"/>
      <c r="BO58" s="66" t="n"/>
      <c r="BP58" s="66" t="n"/>
      <c r="BQ58" s="66" t="n"/>
      <c r="BR58" s="66" t="n"/>
      <c r="BS58" s="66" t="n"/>
      <c r="BT58" s="66" t="n"/>
      <c r="BU58" s="66" t="n"/>
      <c r="BV58" s="66" t="n"/>
      <c r="BW58" s="66" t="n"/>
      <c r="BX58" s="66" t="n"/>
      <c r="BY58" s="66" t="n"/>
      <c r="BZ58" s="66" t="n"/>
      <c r="CA58" s="66" t="n"/>
      <c r="CB58" s="66" t="n"/>
      <c r="CC58" s="66" t="n"/>
    </row>
    <row r="59">
      <c r="A59" s="3" t="n"/>
      <c r="AE59" s="7" t="n"/>
      <c r="AK59" s="66" t="inlineStr">
        <is>
          <t>парапет</t>
        </is>
      </c>
      <c r="AL59" s="66" t="inlineStr">
        <is>
          <t>по продольной стороне</t>
        </is>
      </c>
      <c r="AM59" s="2" t="n">
        <v>3</v>
      </c>
      <c r="AN59" s="66" t="n"/>
      <c r="AO59" s="66">
        <f>'Атлант, Великан'!$K$225</f>
        <v/>
      </c>
      <c r="AP59" s="66">
        <f>'Атлант, Великан'!$K$225</f>
        <v/>
      </c>
      <c r="AQ59" s="66">
        <f>'Атлант, Великан'!$K$225</f>
        <v/>
      </c>
      <c r="AR59" s="66">
        <f>'Атлант, Великан'!$K$225</f>
        <v/>
      </c>
      <c r="AS59" s="66">
        <f>'Атлант, Великан'!$K$225</f>
        <v/>
      </c>
      <c r="AT59" s="66">
        <f>'Атлант, Великан'!$K$225</f>
        <v/>
      </c>
      <c r="AU59" s="66">
        <f>'Атлант, Великан'!$K$225</f>
        <v/>
      </c>
      <c r="AV59" s="66">
        <f>'Атлант, Великан'!$K$225</f>
        <v/>
      </c>
      <c r="AW59" s="66">
        <f>'Атлант, Великан'!$K$225</f>
        <v/>
      </c>
      <c r="AX59" s="66">
        <f>'Атлант, Великан'!$K$225</f>
        <v/>
      </c>
      <c r="AY59" s="66">
        <f>'Атлант, Великан'!$K$225</f>
        <v/>
      </c>
      <c r="AZ59" s="66">
        <f>'Атлант, Великан'!$K$225</f>
        <v/>
      </c>
      <c r="BA59" s="66">
        <f>'Атлант, Великан'!$K$225</f>
        <v/>
      </c>
      <c r="BB59" s="66">
        <f>'Атлант, Великан'!$K$225</f>
        <v/>
      </c>
      <c r="BC59" s="66">
        <f>'Атлант, Великан'!$K$225</f>
        <v/>
      </c>
      <c r="BD59" s="66">
        <f>'Атлант, Великан'!$K$225</f>
        <v/>
      </c>
      <c r="BE59" s="66">
        <f>'Атлант, Великан'!$K$225</f>
        <v/>
      </c>
      <c r="BF59" s="66">
        <f>'Атлант, Великан'!$K$225</f>
        <v/>
      </c>
      <c r="BH59" s="66" t="inlineStr">
        <is>
          <t>парапет</t>
        </is>
      </c>
      <c r="BI59" s="66" t="inlineStr">
        <is>
          <t>по продольной стороне</t>
        </is>
      </c>
      <c r="BJ59" s="2">
        <f>AM59</f>
        <v/>
      </c>
      <c r="BK59" s="69" t="n"/>
      <c r="BL59" s="66">
        <f>'Атлант, Великан'!$M$512</f>
        <v/>
      </c>
      <c r="BM59" s="66">
        <f>'Атлант, Великан'!$M$512</f>
        <v/>
      </c>
      <c r="BN59" s="66">
        <f>'Атлант, Великан'!$M$512</f>
        <v/>
      </c>
      <c r="BO59" s="66">
        <f>'Атлант, Великан'!$M$512</f>
        <v/>
      </c>
      <c r="BP59" s="66">
        <f>'Атлант, Великан'!$M$512</f>
        <v/>
      </c>
      <c r="BQ59" s="66">
        <f>'Атлант, Великан'!$M$512</f>
        <v/>
      </c>
      <c r="BR59" s="66">
        <f>'Атлант, Великан'!$M$512</f>
        <v/>
      </c>
      <c r="BS59" s="66">
        <f>'Атлант, Великан'!$M$512</f>
        <v/>
      </c>
      <c r="BT59" s="66">
        <f>'Атлант, Великан'!$M$512</f>
        <v/>
      </c>
      <c r="BU59" s="66">
        <f>'Атлант, Великан'!$M$512</f>
        <v/>
      </c>
      <c r="BV59" s="66">
        <f>'Атлант, Великан'!$M$512</f>
        <v/>
      </c>
      <c r="BW59" s="66">
        <f>'Атлант, Великан'!$M$512</f>
        <v/>
      </c>
      <c r="BX59" s="66">
        <f>'Атлант, Великан'!$M$512</f>
        <v/>
      </c>
      <c r="BY59" s="66">
        <f>'Атлант, Великан'!$M$512</f>
        <v/>
      </c>
      <c r="BZ59" s="66">
        <f>'Атлант, Великан'!$M$512</f>
        <v/>
      </c>
      <c r="CA59" s="66">
        <f>'Атлант, Великан'!$M$512</f>
        <v/>
      </c>
      <c r="CB59" s="66">
        <f>'Атлант, Великан'!$M$512</f>
        <v/>
      </c>
      <c r="CC59" s="66">
        <f>'Атлант, Великан'!$M$512</f>
        <v/>
      </c>
    </row>
    <row r="60" ht="13.5" customHeight="1">
      <c r="A60" s="3" t="n"/>
      <c r="AE60" s="7" t="n"/>
      <c r="AK60" s="66" t="n"/>
      <c r="AL60" s="76" t="inlineStr">
        <is>
          <t>в торце</t>
        </is>
      </c>
      <c r="AM60" s="2" t="n">
        <v>3</v>
      </c>
      <c r="AN60" s="66" t="n"/>
      <c r="AO60" s="66">
        <f>'Атлант, Великан'!$K$226</f>
        <v/>
      </c>
      <c r="AP60" s="66">
        <f>'Атлант, Великан'!$K$226</f>
        <v/>
      </c>
      <c r="AQ60" s="66">
        <f>'Атлант, Великан'!$K$226</f>
        <v/>
      </c>
      <c r="AR60" s="66">
        <f>'Атлант, Великан'!$K$226</f>
        <v/>
      </c>
      <c r="AS60" s="66">
        <f>'Атлант, Великан'!$K$226</f>
        <v/>
      </c>
      <c r="AT60" s="66">
        <f>'Атлант, Великан'!$K$226</f>
        <v/>
      </c>
      <c r="AU60" s="66">
        <f>'Атлант, Великан'!$K$226</f>
        <v/>
      </c>
      <c r="AV60" s="66">
        <f>'Атлант, Великан'!$K$226</f>
        <v/>
      </c>
      <c r="AW60" s="66">
        <f>'Атлант, Великан'!$K$226</f>
        <v/>
      </c>
      <c r="AX60" s="66">
        <f>'Атлант, Великан'!$K$226</f>
        <v/>
      </c>
      <c r="AY60" s="66">
        <f>'Атлант, Великан'!$K$226</f>
        <v/>
      </c>
      <c r="AZ60" s="66">
        <f>'Атлант, Великан'!$K$226</f>
        <v/>
      </c>
      <c r="BA60" s="66">
        <f>'Атлант, Великан'!$K$226</f>
        <v/>
      </c>
      <c r="BB60" s="66">
        <f>'Атлант, Великан'!$K$226</f>
        <v/>
      </c>
      <c r="BC60" s="66">
        <f>'Атлант, Великан'!$K$226</f>
        <v/>
      </c>
      <c r="BD60" s="66">
        <f>'Атлант, Великан'!$K$226</f>
        <v/>
      </c>
      <c r="BE60" s="66">
        <f>'Атлант, Великан'!$K$226</f>
        <v/>
      </c>
      <c r="BF60" s="66">
        <f>'Атлант, Великан'!$K$226</f>
        <v/>
      </c>
      <c r="BH60" s="66" t="n"/>
      <c r="BI60" s="76" t="inlineStr">
        <is>
          <t>в торце</t>
        </is>
      </c>
      <c r="BJ60" s="2">
        <f>AM60</f>
        <v/>
      </c>
      <c r="BK60" s="69" t="n"/>
      <c r="BL60" s="66" t="n"/>
      <c r="BM60" s="66" t="n"/>
      <c r="BN60" s="66" t="n"/>
      <c r="BO60" s="66" t="n"/>
      <c r="BP60" s="66" t="n"/>
      <c r="BQ60" s="66" t="n"/>
      <c r="BR60" s="66" t="n"/>
      <c r="BS60" s="66" t="n"/>
      <c r="BT60" s="66" t="n"/>
      <c r="BU60" s="66" t="n"/>
      <c r="BV60" s="66" t="n"/>
      <c r="BW60" s="66" t="n"/>
      <c r="BX60" s="66" t="n"/>
      <c r="BY60" s="66" t="n"/>
      <c r="BZ60" s="66" t="n"/>
      <c r="CA60" s="66" t="n"/>
      <c r="CB60" s="66" t="n"/>
      <c r="CC60" s="66" t="n"/>
    </row>
    <row r="61">
      <c r="A61" s="3" t="n"/>
      <c r="F61" s="2" t="n"/>
      <c r="W61" s="2" t="n">
        <v>3</v>
      </c>
      <c r="AE61" s="7" t="n"/>
      <c r="AK61" s="66" t="n"/>
      <c r="AL61" s="66" t="inlineStr">
        <is>
          <t>вынос</t>
        </is>
      </c>
      <c r="AM61" s="2" t="b">
        <v>0</v>
      </c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H61" s="66" t="n"/>
      <c r="BI61" s="66" t="inlineStr">
        <is>
          <t>вынос</t>
        </is>
      </c>
      <c r="BJ61" s="2">
        <f>AM61</f>
        <v/>
      </c>
      <c r="BK61" s="69" t="n"/>
      <c r="BL61" s="66" t="n"/>
      <c r="BM61" s="66" t="n"/>
      <c r="BN61" s="66" t="n"/>
      <c r="BO61" s="66" t="n"/>
      <c r="BP61" s="66" t="n"/>
      <c r="BQ61" s="66" t="n"/>
      <c r="BR61" s="66" t="n"/>
      <c r="BS61" s="66" t="n"/>
      <c r="BT61" s="66" t="n"/>
      <c r="BU61" s="66" t="n"/>
      <c r="BV61" s="66" t="n"/>
      <c r="BW61" s="66" t="n"/>
      <c r="BX61" s="66" t="n"/>
      <c r="BY61" s="66" t="n"/>
      <c r="BZ61" s="66" t="n"/>
      <c r="CA61" s="66" t="n"/>
      <c r="CB61" s="66" t="n"/>
      <c r="CC61" s="66" t="n"/>
    </row>
    <row r="62" ht="3.75" customHeight="1">
      <c r="A62" s="3" t="n"/>
      <c r="W62" s="1" t="n">
        <v>2</v>
      </c>
      <c r="AE62" s="7" t="n"/>
      <c r="AK62" s="66" t="n"/>
      <c r="AL62" s="66" t="n"/>
      <c r="AM62" s="2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H62" s="66" t="n"/>
      <c r="BI62" s="66" t="n"/>
      <c r="BJ62" s="2">
        <f>AM62</f>
        <v/>
      </c>
      <c r="BK62" s="69" t="n"/>
      <c r="BL62" s="66" t="n"/>
      <c r="BM62" s="66" t="n"/>
      <c r="BN62" s="66" t="n"/>
      <c r="BO62" s="66" t="n"/>
      <c r="BP62" s="66" t="n"/>
      <c r="BQ62" s="66" t="n"/>
      <c r="BR62" s="66" t="n"/>
      <c r="BS62" s="66" t="n"/>
      <c r="BT62" s="66" t="n"/>
      <c r="BU62" s="66" t="n"/>
      <c r="BV62" s="66" t="n"/>
      <c r="BW62" s="66" t="n"/>
      <c r="BX62" s="66" t="n"/>
      <c r="BY62" s="66" t="n"/>
      <c r="BZ62" s="66" t="n"/>
      <c r="CA62" s="66" t="n"/>
      <c r="CB62" s="66" t="n"/>
      <c r="CC62" s="66" t="n"/>
    </row>
    <row r="63" ht="17.25" customHeight="1">
      <c r="A63" s="3" t="n"/>
      <c r="W63" s="2" t="n">
        <v>2</v>
      </c>
      <c r="AE63" s="7" t="n"/>
      <c r="AK63" s="66" t="n"/>
      <c r="AL63" s="66" t="inlineStr">
        <is>
          <t>степень огнестойкости здания</t>
        </is>
      </c>
      <c r="AM63" s="2" t="n">
        <v>1</v>
      </c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H63" s="66" t="n"/>
      <c r="BI63" s="66" t="inlineStr">
        <is>
          <t>степень огнестойкости здания</t>
        </is>
      </c>
      <c r="BJ63" s="2">
        <f>AM63</f>
        <v/>
      </c>
      <c r="BK63" s="69" t="n"/>
      <c r="BL63" s="66" t="n"/>
      <c r="BM63" s="66" t="n"/>
      <c r="BN63" s="66" t="n"/>
      <c r="BO63" s="66" t="n"/>
      <c r="BP63" s="66" t="n"/>
      <c r="BQ63" s="66" t="n"/>
      <c r="BR63" s="66" t="n"/>
      <c r="BS63" s="66" t="n"/>
      <c r="BT63" s="66" t="n"/>
      <c r="BU63" s="66" t="n"/>
      <c r="BV63" s="66" t="n"/>
      <c r="BW63" s="66" t="n"/>
      <c r="BX63" s="66" t="n"/>
      <c r="BY63" s="66" t="n"/>
      <c r="BZ63" s="66" t="n"/>
      <c r="CA63" s="66" t="n"/>
      <c r="CB63" s="66" t="n"/>
      <c r="CC63" s="66" t="n"/>
    </row>
    <row r="64" ht="2.25" customHeight="1">
      <c r="A64" s="3" t="n"/>
      <c r="AE64" s="7" t="n"/>
      <c r="AK64" s="66" t="n"/>
      <c r="AL64" s="66" t="n"/>
      <c r="AM64" s="2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H64" s="66" t="n"/>
      <c r="BI64" s="66" t="n"/>
      <c r="BJ64" s="2">
        <f>AM64</f>
        <v/>
      </c>
      <c r="BK64" s="69" t="n"/>
      <c r="BL64" s="66" t="n"/>
      <c r="BM64" s="66" t="n"/>
      <c r="BN64" s="66" t="n"/>
      <c r="BO64" s="66" t="n"/>
      <c r="BP64" s="66" t="n"/>
      <c r="BQ64" s="66" t="n"/>
      <c r="BR64" s="66" t="n"/>
      <c r="BS64" s="66" t="n"/>
      <c r="BT64" s="66" t="n"/>
      <c r="BU64" s="66" t="n"/>
      <c r="BV64" s="66" t="n"/>
      <c r="BW64" s="66" t="n"/>
      <c r="BX64" s="66" t="n"/>
      <c r="BY64" s="66" t="n"/>
      <c r="BZ64" s="66" t="n"/>
      <c r="CA64" s="66" t="n"/>
      <c r="CB64" s="66" t="n"/>
      <c r="CC64" s="66" t="n"/>
    </row>
    <row r="65">
      <c r="A65" s="3" t="n"/>
      <c r="AE65" s="7" t="n"/>
      <c r="AK65" s="66" t="n"/>
      <c r="AL65" s="66" t="inlineStr">
        <is>
          <t>этажи перекрытия</t>
        </is>
      </c>
      <c r="AM65" s="2" t="b">
        <v>0</v>
      </c>
      <c r="AN65" s="66" t="n"/>
      <c r="AO65" s="66">
        <f>'Атлант, Великан'!$G$291</f>
        <v/>
      </c>
      <c r="AP65" s="66">
        <f>'Атлант, Великан'!$G$291</f>
        <v/>
      </c>
      <c r="AQ65" s="66">
        <f>'Атлант, Великан'!$G$291</f>
        <v/>
      </c>
      <c r="AR65" s="66">
        <f>'Атлант, Великан'!$G$291</f>
        <v/>
      </c>
      <c r="AS65" s="66">
        <f>'Атлант, Великан'!$G$291</f>
        <v/>
      </c>
      <c r="AT65" s="66">
        <f>'Атлант, Великан'!$G$291</f>
        <v/>
      </c>
      <c r="AU65" s="66">
        <f>'Атлант, Великан'!$G$291</f>
        <v/>
      </c>
      <c r="AV65" s="66">
        <f>'Атлант, Великан'!$G$291</f>
        <v/>
      </c>
      <c r="AW65" s="66">
        <f>'Атлант, Великан'!$G$291</f>
        <v/>
      </c>
      <c r="AX65" s="66">
        <f>'Атлант, Великан'!$G$291</f>
        <v/>
      </c>
      <c r="AY65" s="66">
        <f>'Атлант, Великан'!$G$291</f>
        <v/>
      </c>
      <c r="AZ65" s="66">
        <f>'Атлант, Великан'!$G$291</f>
        <v/>
      </c>
      <c r="BA65" s="66">
        <f>'Атлант, Великан'!$G$291</f>
        <v/>
      </c>
      <c r="BB65" s="66">
        <f>'Атлант, Великан'!$G$291</f>
        <v/>
      </c>
      <c r="BC65" s="66">
        <f>'Атлант, Великан'!$G$291</f>
        <v/>
      </c>
      <c r="BD65" s="66">
        <f>'Атлант, Великан'!$G$291</f>
        <v/>
      </c>
      <c r="BE65" s="66">
        <f>'Атлант, Великан'!$G$291</f>
        <v/>
      </c>
      <c r="BF65" s="66">
        <f>'Атлант, Великан'!$G$291</f>
        <v/>
      </c>
      <c r="BH65" s="66" t="n"/>
      <c r="BI65" s="66" t="inlineStr">
        <is>
          <t>этажи перекрытия</t>
        </is>
      </c>
      <c r="BJ65" s="2">
        <f>AM65</f>
        <v/>
      </c>
      <c r="BK65" s="69" t="n"/>
      <c r="BL65" s="66" t="n"/>
      <c r="BM65" s="66" t="n"/>
      <c r="BN65" s="66" t="n"/>
      <c r="BO65" s="66" t="n"/>
      <c r="BP65" s="66" t="n"/>
      <c r="BQ65" s="66" t="n"/>
      <c r="BR65" s="66" t="n"/>
      <c r="BS65" s="66" t="n"/>
      <c r="BT65" s="66" t="n"/>
      <c r="BU65" s="66" t="n"/>
      <c r="BV65" s="66" t="n"/>
      <c r="BW65" s="66" t="n"/>
      <c r="BX65" s="66" t="n"/>
      <c r="BY65" s="66" t="n"/>
      <c r="BZ65" s="66" t="n"/>
      <c r="CA65" s="66" t="n"/>
      <c r="CB65" s="66" t="n"/>
      <c r="CC65" s="66" t="n"/>
    </row>
    <row r="66">
      <c r="A66" s="3" t="n"/>
      <c r="F66" s="2" t="n"/>
      <c r="AE66" s="7" t="n"/>
      <c r="AK66" s="66" t="n"/>
      <c r="AL66" s="66" t="inlineStr">
        <is>
          <t>этажи антресоли 1</t>
        </is>
      </c>
      <c r="AM66" s="2" t="b">
        <v>0</v>
      </c>
      <c r="AN66" s="66" t="n"/>
      <c r="AO66" s="66">
        <f>'Атлант, Великан'!$G$292</f>
        <v/>
      </c>
      <c r="AP66" s="66">
        <f>'Атлант, Великан'!$G$292</f>
        <v/>
      </c>
      <c r="AQ66" s="66">
        <f>'Атлант, Великан'!$G$292</f>
        <v/>
      </c>
      <c r="AR66" s="66">
        <f>'Атлант, Великан'!$G$292</f>
        <v/>
      </c>
      <c r="AS66" s="66">
        <f>'Атлант, Великан'!$G$292</f>
        <v/>
      </c>
      <c r="AT66" s="66">
        <f>'Атлант, Великан'!$G$292</f>
        <v/>
      </c>
      <c r="AU66" s="66">
        <f>'Атлант, Великан'!$G$292</f>
        <v/>
      </c>
      <c r="AV66" s="66">
        <f>'Атлант, Великан'!$G$292</f>
        <v/>
      </c>
      <c r="AW66" s="66">
        <f>'Атлант, Великан'!$G$292</f>
        <v/>
      </c>
      <c r="AX66" s="66">
        <f>'Атлант, Великан'!$G$292</f>
        <v/>
      </c>
      <c r="AY66" s="66">
        <f>'Атлант, Великан'!$G$292</f>
        <v/>
      </c>
      <c r="AZ66" s="66">
        <f>'Атлант, Великан'!$G$292</f>
        <v/>
      </c>
      <c r="BA66" s="66">
        <f>'Атлант, Великан'!$G$292</f>
        <v/>
      </c>
      <c r="BB66" s="66">
        <f>'Атлант, Великан'!$G$292</f>
        <v/>
      </c>
      <c r="BC66" s="66">
        <f>'Атлант, Великан'!$G$292</f>
        <v/>
      </c>
      <c r="BD66" s="66">
        <f>'Атлант, Великан'!$G$292</f>
        <v/>
      </c>
      <c r="BE66" s="66">
        <f>'Атлант, Великан'!$G$292</f>
        <v/>
      </c>
      <c r="BF66" s="66">
        <f>'Атлант, Великан'!$G$292</f>
        <v/>
      </c>
      <c r="BH66" s="66" t="n"/>
      <c r="BI66" s="66" t="inlineStr">
        <is>
          <t>этажи антресоли 1</t>
        </is>
      </c>
      <c r="BJ66" s="2">
        <f>AM66</f>
        <v/>
      </c>
      <c r="BK66" s="69" t="n"/>
      <c r="BL66" s="66" t="n"/>
      <c r="BM66" s="66" t="n"/>
      <c r="BN66" s="66" t="n"/>
      <c r="BO66" s="66" t="n"/>
      <c r="BP66" s="66" t="n"/>
      <c r="BQ66" s="66" t="n"/>
      <c r="BR66" s="66" t="n"/>
      <c r="BS66" s="66" t="n"/>
      <c r="BT66" s="66" t="n"/>
      <c r="BU66" s="66" t="n"/>
      <c r="BV66" s="66" t="n"/>
      <c r="BW66" s="66" t="n"/>
      <c r="BX66" s="66" t="n"/>
      <c r="BY66" s="66" t="n"/>
      <c r="BZ66" s="66" t="n"/>
      <c r="CA66" s="66" t="n"/>
      <c r="CB66" s="66" t="n"/>
      <c r="CC66" s="66" t="n"/>
    </row>
    <row r="67" ht="16.5" customHeight="1">
      <c r="A67" s="3" t="n"/>
      <c r="AE67" s="7" t="n"/>
      <c r="AK67" s="66" t="n"/>
      <c r="AL67" s="66" t="inlineStr">
        <is>
          <t>этажи антресоли 2</t>
        </is>
      </c>
      <c r="AM67" s="2" t="b">
        <v>0</v>
      </c>
      <c r="AN67" s="66" t="n"/>
      <c r="AO67" s="66">
        <f>'Атлант, Великан'!$G$293</f>
        <v/>
      </c>
      <c r="AP67" s="66">
        <f>'Атлант, Великан'!$G$293</f>
        <v/>
      </c>
      <c r="AQ67" s="66">
        <f>'Атлант, Великан'!$G$293</f>
        <v/>
      </c>
      <c r="AR67" s="66">
        <f>'Атлант, Великан'!$G$293</f>
        <v/>
      </c>
      <c r="AS67" s="66">
        <f>'Атлант, Великан'!$G$293</f>
        <v/>
      </c>
      <c r="AT67" s="66">
        <f>'Атлант, Великан'!$G$293</f>
        <v/>
      </c>
      <c r="AU67" s="66">
        <f>'Атлант, Великан'!$G$293</f>
        <v/>
      </c>
      <c r="AV67" s="66">
        <f>'Атлант, Великан'!$G$293</f>
        <v/>
      </c>
      <c r="AW67" s="66">
        <f>'Атлант, Великан'!$G$293</f>
        <v/>
      </c>
      <c r="AX67" s="66">
        <f>'Атлант, Великан'!$G$293</f>
        <v/>
      </c>
      <c r="AY67" s="66">
        <f>'Атлант, Великан'!$G$293</f>
        <v/>
      </c>
      <c r="AZ67" s="66">
        <f>'Атлант, Великан'!$G$293</f>
        <v/>
      </c>
      <c r="BA67" s="66">
        <f>'Атлант, Великан'!$G$293</f>
        <v/>
      </c>
      <c r="BB67" s="66">
        <f>'Атлант, Великан'!$G$293</f>
        <v/>
      </c>
      <c r="BC67" s="66">
        <f>'Атлант, Великан'!$G$293</f>
        <v/>
      </c>
      <c r="BD67" s="66">
        <f>'Атлант, Великан'!$G$293</f>
        <v/>
      </c>
      <c r="BE67" s="66">
        <f>'Атлант, Великан'!$G$293</f>
        <v/>
      </c>
      <c r="BF67" s="66">
        <f>'Атлант, Великан'!$G$293</f>
        <v/>
      </c>
      <c r="BH67" s="66" t="n"/>
      <c r="BI67" s="66" t="inlineStr">
        <is>
          <t>этажи антресоли 2</t>
        </is>
      </c>
      <c r="BJ67" s="2">
        <f>AM67</f>
        <v/>
      </c>
      <c r="BK67" s="69" t="n"/>
      <c r="BL67" s="66" t="n"/>
      <c r="BM67" s="66" t="n"/>
      <c r="BN67" s="66" t="n"/>
      <c r="BO67" s="66" t="n"/>
      <c r="BP67" s="66" t="n"/>
      <c r="BQ67" s="66" t="n"/>
      <c r="BR67" s="66" t="n"/>
      <c r="BS67" s="66" t="n"/>
      <c r="BT67" s="66" t="n"/>
      <c r="BU67" s="66" t="n"/>
      <c r="BV67" s="66" t="n"/>
      <c r="BW67" s="66" t="n"/>
      <c r="BX67" s="66" t="n"/>
      <c r="BY67" s="66" t="n"/>
      <c r="BZ67" s="66" t="n"/>
      <c r="CA67" s="66" t="n"/>
      <c r="CB67" s="66" t="n"/>
      <c r="CC67" s="66" t="n"/>
    </row>
    <row r="68" ht="15.75" customHeight="1">
      <c r="A68" s="3" t="n"/>
      <c r="AE68" s="7" t="n"/>
      <c r="AK68" s="66" t="n"/>
      <c r="AL68" s="66" t="inlineStr">
        <is>
          <t>этажи антресоли 3</t>
        </is>
      </c>
      <c r="AM68" s="2" t="b">
        <v>0</v>
      </c>
      <c r="AN68" s="66" t="n"/>
      <c r="AO68" s="66">
        <f>'Атлант, Великан'!$G$294</f>
        <v/>
      </c>
      <c r="AP68" s="66">
        <f>'Атлант, Великан'!$G$294</f>
        <v/>
      </c>
      <c r="AQ68" s="66">
        <f>'Атлант, Великан'!$G$294</f>
        <v/>
      </c>
      <c r="AR68" s="66">
        <f>'Атлант, Великан'!$G$294</f>
        <v/>
      </c>
      <c r="AS68" s="66">
        <f>'Атлант, Великан'!$G$294</f>
        <v/>
      </c>
      <c r="AT68" s="66">
        <f>'Атлант, Великан'!$G$294</f>
        <v/>
      </c>
      <c r="AU68" s="66">
        <f>'Атлант, Великан'!$G$294</f>
        <v/>
      </c>
      <c r="AV68" s="66">
        <f>'Атлант, Великан'!$G$294</f>
        <v/>
      </c>
      <c r="AW68" s="66">
        <f>'Атлант, Великан'!$G$294</f>
        <v/>
      </c>
      <c r="AX68" s="66">
        <f>'Атлант, Великан'!$G$294</f>
        <v/>
      </c>
      <c r="AY68" s="66">
        <f>'Атлант, Великан'!$G$294</f>
        <v/>
      </c>
      <c r="AZ68" s="66">
        <f>'Атлант, Великан'!$G$294</f>
        <v/>
      </c>
      <c r="BA68" s="66">
        <f>'Атлант, Великан'!$G$294</f>
        <v/>
      </c>
      <c r="BB68" s="66">
        <f>'Атлант, Великан'!$G$294</f>
        <v/>
      </c>
      <c r="BC68" s="66">
        <f>'Атлант, Великан'!$G$294</f>
        <v/>
      </c>
      <c r="BD68" s="66">
        <f>'Атлант, Великан'!$G$294</f>
        <v/>
      </c>
      <c r="BE68" s="66">
        <f>'Атлант, Великан'!$G$294</f>
        <v/>
      </c>
      <c r="BF68" s="66">
        <f>'Атлант, Великан'!$G$294</f>
        <v/>
      </c>
      <c r="BH68" s="66" t="n"/>
      <c r="BI68" s="66" t="inlineStr">
        <is>
          <t>этажи антресоли 3</t>
        </is>
      </c>
      <c r="BJ68" s="2">
        <f>AM68</f>
        <v/>
      </c>
      <c r="BK68" s="69" t="n"/>
      <c r="BL68" s="66" t="n"/>
      <c r="BM68" s="66" t="n"/>
      <c r="BN68" s="66" t="n"/>
      <c r="BO68" s="66" t="n"/>
      <c r="BP68" s="66" t="n"/>
      <c r="BQ68" s="66" t="n"/>
      <c r="BR68" s="66" t="n"/>
      <c r="BS68" s="66" t="n"/>
      <c r="BT68" s="66" t="n"/>
      <c r="BU68" s="66" t="n"/>
      <c r="BV68" s="66" t="n"/>
      <c r="BW68" s="66" t="n"/>
      <c r="BX68" s="66" t="n"/>
      <c r="BY68" s="66" t="n"/>
      <c r="BZ68" s="66" t="n"/>
      <c r="CA68" s="66" t="n"/>
      <c r="CB68" s="66" t="n"/>
      <c r="CC68" s="66" t="n"/>
    </row>
    <row r="69">
      <c r="A69" s="3" t="n"/>
      <c r="AE69" s="7" t="n"/>
      <c r="AK69" s="66" t="n"/>
      <c r="AL69" s="66" t="inlineStr">
        <is>
          <t>расположение с-п ограждения</t>
        </is>
      </c>
      <c r="AM69" s="2" t="n">
        <v>1</v>
      </c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H69" s="66" t="n"/>
      <c r="BI69" s="66" t="inlineStr">
        <is>
          <t>расположение с-п ограждения</t>
        </is>
      </c>
      <c r="BJ69" s="2">
        <f>AM69</f>
        <v/>
      </c>
      <c r="BK69" s="69" t="n"/>
      <c r="BL69" s="66" t="n"/>
      <c r="BM69" s="66" t="n"/>
      <c r="BN69" s="66" t="n"/>
      <c r="BO69" s="66" t="n"/>
      <c r="BP69" s="66" t="n"/>
      <c r="BQ69" s="66" t="n"/>
      <c r="BR69" s="66" t="n"/>
      <c r="BS69" s="66" t="n"/>
      <c r="BT69" s="66" t="n"/>
      <c r="BU69" s="66" t="n"/>
      <c r="BV69" s="66" t="n"/>
      <c r="BW69" s="66" t="n"/>
      <c r="BX69" s="66" t="n"/>
      <c r="BY69" s="66" t="n"/>
      <c r="BZ69" s="66" t="n"/>
      <c r="CA69" s="66" t="n"/>
      <c r="CB69" s="66" t="n"/>
      <c r="CC69" s="66" t="n"/>
    </row>
    <row r="70" ht="18.75" customHeight="1">
      <c r="A70" s="3" t="n"/>
      <c r="AE70" s="7" t="n"/>
      <c r="AK70" s="66" t="n"/>
      <c r="AL70" s="66" t="inlineStr">
        <is>
          <t>наличие водосточной системы</t>
        </is>
      </c>
      <c r="AM70" s="2" t="b">
        <v>0</v>
      </c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H70" s="66" t="n"/>
      <c r="BI70" s="66" t="inlineStr">
        <is>
          <t>наличие водосточной системы</t>
        </is>
      </c>
      <c r="BJ70" s="2">
        <f>AM70</f>
        <v/>
      </c>
      <c r="BK70" s="66">
        <f>IF($BJ$70=FALSE,0,'Атлант, Великан'!$B$542)</f>
        <v/>
      </c>
      <c r="BL70" s="66">
        <f>IF($BJ$70=FALSE,0,'Атлант, Великан'!$B$542)</f>
        <v/>
      </c>
      <c r="BM70" s="66">
        <f>IF($BJ$70=FALSE,0,'Атлант, Великан'!$B$542)</f>
        <v/>
      </c>
      <c r="BN70" s="66">
        <f>IF($BJ$70=FALSE,0,'Атлант, Великан'!$B$542)</f>
        <v/>
      </c>
      <c r="BO70" s="66">
        <f>IF($BJ$70=FALSE,0,'Атлант, Великан'!$B$542)</f>
        <v/>
      </c>
      <c r="BP70" s="66">
        <f>IF($BJ$70=FALSE,0,'Атлант, Великан'!$B$542)</f>
        <v/>
      </c>
      <c r="BQ70" s="66">
        <f>IF($BJ$70=FALSE,0,'Атлант, Великан'!$B$542)</f>
        <v/>
      </c>
      <c r="BR70" s="66">
        <f>IF($BJ$70=FALSE,0,'Атлант, Великан'!$B$542)</f>
        <v/>
      </c>
      <c r="BS70" s="66">
        <f>IF($BJ$70=FALSE,0,'Атлант, Великан'!$B$542)</f>
        <v/>
      </c>
      <c r="BT70" s="66">
        <f>IF($BJ$70=FALSE,0,'Атлант, Великан'!$B$542)</f>
        <v/>
      </c>
      <c r="BU70" s="66">
        <f>IF($BJ$70=FALSE,0,'Атлант, Великан'!$B$542)</f>
        <v/>
      </c>
      <c r="BV70" s="66">
        <f>IF($BJ$70=FALSE,0,'Атлант, Великан'!$B$542)</f>
        <v/>
      </c>
      <c r="BW70" s="66">
        <f>IF($BJ$70=FALSE,0,'Атлант, Великан'!$B$542)</f>
        <v/>
      </c>
      <c r="BX70" s="66">
        <f>IF($BJ$70=FALSE,0,'Атлант, Великан'!$B$542)</f>
        <v/>
      </c>
      <c r="BY70" s="66">
        <f>IF($BJ$70=FALSE,0,'Атлант, Великан'!$B$542)</f>
        <v/>
      </c>
      <c r="BZ70" s="66">
        <f>IF($BJ$70=FALSE,0,'Атлант, Великан'!$B$542)</f>
        <v/>
      </c>
      <c r="CA70" s="66">
        <f>IF($BJ$70=FALSE,0,'Атлант, Великан'!$B$542)</f>
        <v/>
      </c>
      <c r="CB70" s="66">
        <f>IF($BJ$70=FALSE,0,'Атлант, Великан'!$B$542)</f>
        <v/>
      </c>
      <c r="CC70" s="66">
        <f>IF($BJ$70=FALSE,0,'Атлант, Великан'!$B$542)</f>
        <v/>
      </c>
    </row>
    <row r="71">
      <c r="A71" s="3" t="n"/>
      <c r="F71" s="2" t="n"/>
      <c r="N71" s="2" t="n"/>
      <c r="AE71" s="7" t="n"/>
      <c r="AL71" s="66" t="n"/>
      <c r="AM71" s="2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H71" s="64" t="n"/>
      <c r="BI71" s="66" t="n"/>
      <c r="BJ71" s="2" t="n"/>
      <c r="BK71" s="66" t="n"/>
      <c r="BL71" s="66" t="n"/>
      <c r="BM71" s="66" t="n"/>
      <c r="BN71" s="66" t="n"/>
      <c r="BO71" s="66" t="n"/>
      <c r="BP71" s="66" t="n"/>
      <c r="BQ71" s="66" t="n"/>
      <c r="BR71" s="66" t="n"/>
      <c r="BS71" s="66" t="n"/>
      <c r="BT71" s="66" t="n"/>
      <c r="BU71" s="66" t="n"/>
      <c r="BV71" s="66" t="n"/>
      <c r="BW71" s="66" t="n"/>
      <c r="BX71" s="66" t="n"/>
      <c r="BY71" s="66" t="n"/>
      <c r="BZ71" s="66" t="n"/>
      <c r="CA71" s="66" t="n"/>
      <c r="CB71" s="66" t="n"/>
      <c r="CC71" s="66" t="n"/>
    </row>
    <row r="72" ht="4.5" customHeight="1">
      <c r="A72" s="3" t="n"/>
      <c r="AE72" s="7" t="n"/>
      <c r="AL72" s="66" t="n"/>
      <c r="AM72" s="2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H72" s="64" t="n"/>
      <c r="BI72" s="66" t="n"/>
      <c r="BJ72" s="2" t="n"/>
      <c r="BK72" s="66" t="n"/>
      <c r="BL72" s="66" t="n"/>
      <c r="BM72" s="66" t="n"/>
      <c r="BN72" s="66" t="n"/>
      <c r="BO72" s="66" t="n"/>
      <c r="BP72" s="66" t="n"/>
      <c r="BQ72" s="66" t="n"/>
      <c r="BR72" s="66" t="n"/>
      <c r="BS72" s="66" t="n"/>
      <c r="BT72" s="66" t="n"/>
      <c r="BU72" s="66" t="n"/>
      <c r="BV72" s="66" t="n"/>
      <c r="BW72" s="66" t="n"/>
      <c r="BX72" s="66" t="n"/>
      <c r="BY72" s="66" t="n"/>
      <c r="BZ72" s="66" t="n"/>
      <c r="CA72" s="66" t="n"/>
      <c r="CB72" s="66" t="n"/>
      <c r="CC72" s="66" t="n"/>
    </row>
    <row r="73">
      <c r="A73" s="3" t="n"/>
      <c r="F73" s="2" t="n"/>
      <c r="N73" s="2" t="n"/>
      <c r="AE73" s="7" t="n"/>
      <c r="AL73" s="66" t="n"/>
      <c r="AM73" s="2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H73" s="64" t="n"/>
      <c r="BI73" s="66" t="n"/>
      <c r="BJ73" s="2" t="n"/>
      <c r="BK73" s="66" t="n"/>
      <c r="BL73" s="66" t="n"/>
      <c r="BM73" s="66" t="n"/>
      <c r="BN73" s="66" t="n"/>
      <c r="BO73" s="66" t="n"/>
      <c r="BP73" s="66" t="n"/>
      <c r="BQ73" s="66" t="n"/>
      <c r="BR73" s="66" t="n"/>
      <c r="BS73" s="66" t="n"/>
      <c r="BT73" s="66" t="n"/>
      <c r="BU73" s="66" t="n"/>
      <c r="BV73" s="66" t="n"/>
      <c r="BW73" s="66" t="n"/>
      <c r="BX73" s="66" t="n"/>
      <c r="BY73" s="66" t="n"/>
      <c r="BZ73" s="66" t="n"/>
      <c r="CA73" s="66" t="n"/>
      <c r="CB73" s="66" t="n"/>
      <c r="CC73" s="66" t="n"/>
    </row>
    <row r="74" ht="4.5" customHeight="1">
      <c r="A74" s="3" t="n"/>
      <c r="AE74" s="7" t="n"/>
      <c r="AL74" s="66" t="n"/>
      <c r="AM74" s="2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H74" s="64" t="n"/>
      <c r="BI74" s="66" t="n"/>
      <c r="BJ74" s="2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66" t="n"/>
      <c r="BV74" s="66" t="n"/>
      <c r="BW74" s="66" t="n"/>
      <c r="BX74" s="66" t="n"/>
      <c r="BY74" s="66" t="n"/>
      <c r="BZ74" s="66" t="n"/>
      <c r="CA74" s="66" t="n"/>
      <c r="CB74" s="66" t="n"/>
      <c r="CC74" s="66" t="n"/>
    </row>
    <row r="75">
      <c r="A75" s="3" t="n"/>
      <c r="F75" s="2" t="n"/>
      <c r="N75" s="2" t="n"/>
      <c r="AE75" s="7" t="n"/>
      <c r="AL75" s="66" t="n"/>
      <c r="AM75" s="2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H75" s="64" t="n"/>
      <c r="BI75" s="66" t="n"/>
      <c r="BJ75" s="2" t="n"/>
      <c r="BK75" s="66" t="n"/>
      <c r="BL75" s="66" t="n"/>
      <c r="BM75" s="66" t="n"/>
      <c r="BN75" s="66" t="n"/>
      <c r="BO75" s="66" t="n"/>
      <c r="BP75" s="66" t="n"/>
      <c r="BQ75" s="66" t="n"/>
      <c r="BR75" s="66" t="n"/>
      <c r="BS75" s="66" t="n"/>
      <c r="BT75" s="66" t="n"/>
      <c r="BU75" s="66" t="n"/>
      <c r="BV75" s="66" t="n"/>
      <c r="BW75" s="66" t="n"/>
      <c r="BX75" s="66" t="n"/>
      <c r="BY75" s="66" t="n"/>
      <c r="BZ75" s="66" t="n"/>
      <c r="CA75" s="66" t="n"/>
      <c r="CB75" s="66" t="n"/>
      <c r="CC75" s="66" t="n"/>
    </row>
    <row r="76" ht="4.5" customHeight="1">
      <c r="A76" s="3" t="n"/>
      <c r="AE76" s="7" t="n"/>
      <c r="AL76" s="66" t="n"/>
      <c r="AM76" s="2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H76" s="64" t="n"/>
      <c r="BI76" s="66" t="n"/>
      <c r="BJ76" s="2" t="n"/>
      <c r="BK76" s="66" t="n"/>
      <c r="BL76" s="66" t="n"/>
      <c r="BM76" s="66" t="n"/>
      <c r="BN76" s="66" t="n"/>
      <c r="BO76" s="66" t="n"/>
      <c r="BP76" s="66" t="n"/>
      <c r="BQ76" s="66" t="n"/>
      <c r="BR76" s="66" t="n"/>
      <c r="BS76" s="66" t="n"/>
      <c r="BT76" s="66" t="n"/>
      <c r="BU76" s="66" t="n"/>
      <c r="BV76" s="66" t="n"/>
      <c r="BW76" s="66" t="n"/>
      <c r="BX76" s="66" t="n"/>
      <c r="BY76" s="66" t="n"/>
      <c r="BZ76" s="66" t="n"/>
      <c r="CA76" s="66" t="n"/>
      <c r="CB76" s="66" t="n"/>
      <c r="CC76" s="66" t="n"/>
    </row>
    <row r="77">
      <c r="A77" s="3" t="n"/>
      <c r="F77" s="2" t="n"/>
      <c r="N77" s="2" t="n"/>
      <c r="AE77" s="7" t="n"/>
      <c r="AL77" s="66" t="n"/>
      <c r="AM77" s="2" t="n"/>
      <c r="AN77" s="66" t="n"/>
      <c r="AO77" s="66">
        <f>IF($AM$8=TRUE,SUM(AO4,AO6,AO12:AO18,AO20,AO23:AO31,AO33:AO34,AO36,AO38,AO40:AO44,AO47:AO48,AO53:AO56,AO58:AO60,AO65:AO68,AO10),0)</f>
        <v/>
      </c>
      <c r="AP77" s="66">
        <f>IF($AM$8=TRUE,SUM(AP4,AP6,AP12:AP18,AP20,AP23:AP31,AP33:AP34,AP36,AP38,AP40:AP44,AP47:AP48,AP53:AP56,AP58:AP60,AP65:AP68,AP10),0)</f>
        <v/>
      </c>
      <c r="AQ77" s="66">
        <f>IF($AM$8=TRUE,SUM(AQ4,AQ6,AQ12:AQ18,AQ20,AQ23:AQ31,AQ33:AQ34,AQ36,AQ38,AQ40:AQ44,AQ47:AQ48,AQ53:AQ56,AQ58:AQ60,AQ65:AQ68,AQ10),0)</f>
        <v/>
      </c>
      <c r="AR77" s="66">
        <f>IF($AM$8=TRUE,SUM(AR4,AR6,AR12:AR18,AR20,AR23:AR31,AR33:AR34,AR36,AR38,AR40:AR44,AR47:AR48,AR53:AR56,AR58:AR60,AR65:AR68,AR10),0)</f>
        <v/>
      </c>
      <c r="AS77" s="66">
        <f>IF($AM$8=TRUE,SUM(AS4,AS6,AS12:AS18,AS20,AS23:AS31,AS33:AS34,AS36,AS38,AS40:AS44,AS47:AS48,AS53:AS56,AS58:AS60,AS65:AS68,AS10),0)</f>
        <v/>
      </c>
      <c r="AT77" s="66">
        <f>IF($AM$8=TRUE,SUM(AT4,AT6,AT12:AT18,AT20,AT23:AT31,AT33:AT34,AT36,AT38,AT40:AT44,AT47:AT48,AT53:AT56,AT58:AT60,AT65:AT68,AT10),0)</f>
        <v/>
      </c>
      <c r="AU77" s="66">
        <f>IF($AM$8=TRUE,SUM(AU4,AU6,AU12:AU18,AU20,AU23:AU31,AU33:AU34,AU36,AU38,AU40:AU44,AU47:AU48,AU53:AU56,AU58:AU60,AU65:AU68,AU10),0)</f>
        <v/>
      </c>
      <c r="AV77" s="66">
        <f>IF($AM$8=TRUE,SUM(AV4,AV6,AV12:AV18,AV20,AV23:AV31,AV33:AV34,AV36,AV38,AV40:AV44,AV47:AV48,AV53:AV56,AV58:AV60,AV65:AV68,AV10),0)</f>
        <v/>
      </c>
      <c r="AW77" s="66">
        <f>IF($AM$8=TRUE,SUM(AW4,AW6,AW12:AW18,AW20,AW23:AW31,AW33:AW34,AW36,AW38,AW40:AW44,AW47:AW48,AW53:AW56,AW58:AW60,AW65:AW68,AW10),0)</f>
        <v/>
      </c>
      <c r="AX77" s="66">
        <f>IF($AM$8=TRUE,SUM(AX4,AX6,AX12:AX18,AX20,AX23:AX31,AX33:AX34,AX36,AX38,AX40:AX44,AX47:AX48,AX53:AX56,AX58:AX60,AX65:AX68,AX10),0)</f>
        <v/>
      </c>
      <c r="AY77" s="66">
        <f>IF($AM$8=TRUE,SUM(AY4,AY6,AY12:AY18,AY20,AY23:AY31,AY33:AY34,AY36,AY38,AY40:AY44,AY47:AY48,AY53:AY56,AY58:AY60,AY65:AY68,AY10),0)</f>
        <v/>
      </c>
      <c r="AZ77" s="66">
        <f>IF($AM$8=TRUE,SUM(AZ4,AZ6,AZ12:AZ18,AZ20,AZ23:AZ31,AZ33:AZ34,AZ36,AZ38,AZ40:AZ44,AZ47:AZ48,AZ53:AZ56,AZ58:AZ60,AZ65:AZ68,AZ10),0)</f>
        <v/>
      </c>
      <c r="BA77" s="66">
        <f>IF($AM$8=TRUE,SUM(BA4,BA6,BA12:BA18,BA20,BA23:BA31,BA33:BA34,BA36,BA38,BA40:BA44,BA47:BA48,BA53:BA56,BA58:BA60,BA65:BA68,BA10),0)</f>
        <v/>
      </c>
      <c r="BB77" s="66">
        <f>IF($AM$8=TRUE,SUM(BB4,BB6,BB12:BB18,BB20,BB23:BB31,BB33:BB34,BB36,BB38,BB40:BB44,BB47:BB48,BB53:BB56,BB58:BB60,BB65:BB68,BB10),0)</f>
        <v/>
      </c>
      <c r="BC77" s="66">
        <f>IF($AM$8=TRUE,SUM(BC4,BC6,BC12:BC18,BC20,BC23:BC31,BC33:BC34,BC36,BC38,BC40:BC44,BC47:BC48,BC53:BC56,BC58:BC60,BC65:BC68,BC10),0)</f>
        <v/>
      </c>
      <c r="BD77" s="66">
        <f>IF($AM$8=TRUE,SUM(BD4,BD6,BD12:BD18,BD20,BD23:BD31,BD33:BD34,BD36,BD38,BD40:BD44,BD47:BD48,BD53:BD56,BD58:BD60,BD65:BD68,BD10),0)</f>
        <v/>
      </c>
      <c r="BE77" s="66">
        <f>IF($AM$8=TRUE,SUM(BE4,BE6,BE12:BE18,BE20,BE23:BE31,BE33:BE34,BE36,BE38,BE40:BE44,BE47:BE48,BE53:BE56,BE58:BE60,BE65:BE68,BE10),0)</f>
        <v/>
      </c>
      <c r="BF77" s="66">
        <f>IF($AM$8=TRUE,SUM(BF4,BF6,BF12:BF18,BF20,BF23:BF31,BF33:BF34,BF36,BF38,BF40:BF44,BF47:BF48,BF53:BF56,BF58:BF60,BF65:BF68,BF10),0)</f>
        <v/>
      </c>
      <c r="BH77" s="64" t="n"/>
      <c r="BI77" s="66" t="n"/>
      <c r="BJ77" s="2" t="n"/>
      <c r="BK77" s="66" t="n"/>
      <c r="BL77" s="66">
        <f>IF($AM$9=TRUE,SUM(BL4,BL6:BL49,BL51:BL70),0)</f>
        <v/>
      </c>
      <c r="BM77" s="66">
        <f>IF($AM$9=TRUE,SUM(BM4,BM6,BM12:BM18,BM20,BM23:BM31,BM33:BM34,BM36,BM38,BM40:BM44,BM47:BM48,BM53:BM56,BM58:BM60,BM65:BM68,BM10),0)</f>
        <v/>
      </c>
      <c r="BN77" s="66">
        <f>IF($AM$9=TRUE,SUM(BN4,BN6,BN12:BN18,BN20,BN23:BN31,BN33:BN34,BN36,BN38,BN40:BN44,BN47:BN48,BN53:BN56,BN58:BN60,BN65:BN68,BN10),0)</f>
        <v/>
      </c>
      <c r="BO77" s="66">
        <f>IF($AM$9=TRUE,SUM(BO4,BO6,BO12:BO18,BO20,BO23:BO31,BO33:BO34,BO36,BO38,BO40:BO44,BO47:BO48,BO53:BO56,BO58:BO60,BO65:BO68,BO10),0)</f>
        <v/>
      </c>
      <c r="BP77" s="66">
        <f>IF($AM$9=TRUE,SUM(BP4,BP6,BP12:BP18,BP20,BP23:BP31,BP33:BP34,BP36,BP38,BP40:BP44,BP47:BP48,BP53:BP56,BP58:BP60,BP65:BP68,BP10),0)</f>
        <v/>
      </c>
      <c r="BQ77" s="66">
        <f>IF($AM$9=TRUE,SUM(BQ4,BQ6,BQ12:BQ18,BQ20,BQ23:BQ31,BQ33:BQ34,BQ36,BQ38,BQ40:BQ44,BQ47:BQ48,BQ53:BQ56,BQ58:BQ60,BQ65:BQ68,BQ10),0)</f>
        <v/>
      </c>
      <c r="BR77" s="66">
        <f>IF($AM$9=TRUE,SUM(BR4,BR6,BR12:BR18,BR20,BR23:BR31,BR33:BR34,BR36,BR38,BR40:BR44,BR47:BR48,BR53:BR56,BR58:BR60,BR65:BR68,BR10),0)</f>
        <v/>
      </c>
      <c r="BS77" s="66">
        <f>IF($AM$9=TRUE,SUM(BS4,BS6,BS12:BS18,BS20,BS23:BS31,BS33:BS34,BS36,BS38,BS40:BS44,BS47:BS48,BS53:BS56,BS58:BS60,BS65:BS68,BS10),0)</f>
        <v/>
      </c>
      <c r="BT77" s="66">
        <f>IF($AM$9=TRUE,SUM(BT4,BT6,BT12:BT18,BT20,BT23:BT31,BT33:BT34,BT36,BT38,BT40:BT44,BT47:BT48,BT53:BT56,BT58:BT60,BT65:BT68,BT10),0)</f>
        <v/>
      </c>
      <c r="BU77" s="66">
        <f>IF($AM$9=TRUE,SUM(BU4,BU6,BU12:BU18,BU20,BU23:BU31,BU33:BU34,BU36,BU38,BU40:BU44,BU47:BU48,BU53:BU56,BU58:BU60,BU65:BU68,BU10),0)</f>
        <v/>
      </c>
      <c r="BV77" s="66">
        <f>IF($AM$9=TRUE,SUM(BV4,BV6,BV12:BV18,BV20,BV23:BV31,BV33:BV34,BV36,BV38,BV40:BV44,BV47:BV48,BV53:BV56,BV58:BV60,BV65:BV68,BV10),0)</f>
        <v/>
      </c>
      <c r="BW77" s="66">
        <f>IF($AM$9=TRUE,SUM(BW4,BW6,BW12:BW18,BW20,BW23:BW31,BW33:BW34,BW36,BW38,BW40:BW44,BW47:BW48,BW53:BW56,BW58:BW60,BW65:BW68,BW10),0)</f>
        <v/>
      </c>
      <c r="BX77" s="66">
        <f>IF($AM$9=TRUE,SUM(BX4,BX6,BX12:BX18,BX20,BX23:BX31,BX33:BX34,BX36,BX38,BX40:BX44,BX47:BX48,BX53:BX56,BX58:BX60,BX65:BX68,BX10),0)</f>
        <v/>
      </c>
      <c r="BY77" s="66">
        <f>IF($AM$9=TRUE,SUM(BY4,BY6,BY12:BY18,BY20,BY23:BY31,BY33:BY34,BY36,BY38,BY40:BY44,BY47:BY48,BY53:BY56,BY58:BY60,BY65:BY68,BY10),0)</f>
        <v/>
      </c>
      <c r="BZ77" s="66">
        <f>IF($AM$9=TRUE,SUM(BZ4,BZ6,BZ12:BZ18,BZ20,BZ23:BZ31,BZ33:BZ34,BZ36,BZ38,BZ40:BZ44,BZ47:BZ48,BZ53:BZ56,BZ58:BZ60,BZ65:BZ68,BZ10),0)</f>
        <v/>
      </c>
      <c r="CA77" s="66">
        <f>IF($AM$9=TRUE,SUM(CA4,CA6,CA12:CA18,CA20,CA23:CA31,CA33:CA34,CA36,CA38,CA40:CA44,CA47:CA48,CA53:CA56,CA58:CA60,CA65:CA68,CA10),0)</f>
        <v/>
      </c>
      <c r="CB77" s="66">
        <f>IF($AM$9=TRUE,SUM(CB4,CB6,CB12:CB18,CB20,CB23:CB31,CB33:CB34,CB36,CB38,CB40:CB44,CB47:CB48,CB53:CB56,CB58:CB60,CB65:CB68,CB10),0)</f>
        <v/>
      </c>
      <c r="CC77" s="66">
        <f>IF($AM$9=TRUE,SUM(CC4,CC6,CC12:CC18,CC20,CC23:CC31,CC33:CC34,CC36,CC38,CC40:CC44,CC47:CC48,CC53:CC56,CC58:CC60,CC65:CC68,CC10),0)</f>
        <v/>
      </c>
    </row>
    <row r="78">
      <c r="A78" s="3" t="n"/>
      <c r="AE78" s="7" t="n"/>
      <c r="AL78" s="66" t="inlineStr">
        <is>
          <t>для всех конструктивов</t>
        </is>
      </c>
      <c r="AM78" s="2" t="n"/>
      <c r="AN78" s="66" t="n"/>
      <c r="AO78" s="66">
        <f>$AM$4*AO5*AO50*AO77</f>
        <v/>
      </c>
      <c r="AP78" s="66">
        <f>$AM$4*AP5*AP50*AP77</f>
        <v/>
      </c>
      <c r="AQ78" s="66">
        <f>$AM$4*AQ5*AQ50*AQ77</f>
        <v/>
      </c>
      <c r="AR78" s="66">
        <f>$AM$4*AR5*AR50*AR77</f>
        <v/>
      </c>
      <c r="AS78" s="66">
        <f>$AM$4*AS5*AS50*AS77</f>
        <v/>
      </c>
      <c r="AT78" s="66">
        <f>$AM$4*AT5*AT50*AT77</f>
        <v/>
      </c>
      <c r="AU78" s="66">
        <f>$AM$4*AU5*AU50*AU77</f>
        <v/>
      </c>
      <c r="AV78" s="66">
        <f>$AM$4*AV5*AV50*AV77</f>
        <v/>
      </c>
      <c r="AW78" s="66">
        <f>$AM$4*AW5*AW50*AW77</f>
        <v/>
      </c>
      <c r="AX78" s="66">
        <f>$AM$4*AX5*AX50*AX77</f>
        <v/>
      </c>
      <c r="AY78" s="66">
        <f>$AM$4*AY5*AY50*AY77</f>
        <v/>
      </c>
      <c r="AZ78" s="66">
        <f>$AM$4*AZ5*AZ50*AZ77</f>
        <v/>
      </c>
      <c r="BA78" s="66">
        <f>$AM$4*BA5*BA50*BA77</f>
        <v/>
      </c>
      <c r="BB78" s="66">
        <f>$AM$4*BB5*BB50*BB77</f>
        <v/>
      </c>
      <c r="BC78" s="66">
        <f>$AM$4*BC5*BC50*BC77</f>
        <v/>
      </c>
      <c r="BD78" s="66">
        <f>$AM$4*BD5*BD50*BD77</f>
        <v/>
      </c>
      <c r="BE78" s="66">
        <f>$AM$4*BE5*BE50*BE77</f>
        <v/>
      </c>
      <c r="BF78" s="66">
        <f>$AM$4*BF5*BF50*BF77</f>
        <v/>
      </c>
      <c r="BH78" s="64" t="n"/>
      <c r="BI78" s="66" t="inlineStr">
        <is>
          <t>для всех конструктивов</t>
        </is>
      </c>
      <c r="BJ78" s="2" t="n"/>
      <c r="BK78" s="66" t="n"/>
      <c r="BL78" s="66">
        <f>$AM$4*BL5*BL50*BL77</f>
        <v/>
      </c>
      <c r="BM78" s="66">
        <f>$AM$4*BM5*BM50*BM77</f>
        <v/>
      </c>
      <c r="BN78" s="66">
        <f>$AM$4*BN5*BN50*BN77</f>
        <v/>
      </c>
      <c r="BO78" s="66">
        <f>$AM$4*BO5*BO50*BO77</f>
        <v/>
      </c>
      <c r="BP78" s="66">
        <f>$AM$4*BP5*BP50*BP77</f>
        <v/>
      </c>
      <c r="BQ78" s="66">
        <f>$AM$4*BQ5*BQ50*BQ77</f>
        <v/>
      </c>
      <c r="BR78" s="66">
        <f>$AM$4*BR5*BR50*BR77</f>
        <v/>
      </c>
      <c r="BS78" s="66">
        <f>$AM$4*BS5*BS50*BS77</f>
        <v/>
      </c>
      <c r="BT78" s="66">
        <f>$AM$4*BT5*BT50*BT77</f>
        <v/>
      </c>
      <c r="BU78" s="66">
        <f>$AM$4*BU5*BU50*BU77</f>
        <v/>
      </c>
      <c r="BV78" s="66">
        <f>$AM$4*BV5*BV50*BV77</f>
        <v/>
      </c>
      <c r="BW78" s="66">
        <f>$AM$4*BW5*BW50*BW77</f>
        <v/>
      </c>
      <c r="BX78" s="66">
        <f>$AM$4*BX5*BX50*BX77</f>
        <v/>
      </c>
      <c r="BY78" s="66">
        <f>$AM$4*BY5*BY50*BY77</f>
        <v/>
      </c>
      <c r="BZ78" s="66">
        <f>$AM$4*BZ5*BZ50*BZ77</f>
        <v/>
      </c>
      <c r="CA78" s="66">
        <f>$AM$4*CA5*CA50*CA77</f>
        <v/>
      </c>
      <c r="CB78" s="66">
        <f>$AM$4*CB5*CB50*CB77</f>
        <v/>
      </c>
      <c r="CC78" s="66">
        <f>$AM$4*CC5*CC50*CC77</f>
        <v/>
      </c>
    </row>
    <row r="79">
      <c r="A79" s="3" t="n"/>
      <c r="AE79" s="7" t="n"/>
      <c r="AL79" s="64" t="inlineStr">
        <is>
          <t>Итого</t>
        </is>
      </c>
      <c r="AM79" s="1" t="n"/>
      <c r="AO79" s="64">
        <f>IF(AO7*AO11=0,0,$AM$4*AO5*AO50*AO77)</f>
        <v/>
      </c>
      <c r="AP79" s="64">
        <f>IF(AP7*AP11=0,0,$AM$4*AP5*AP50*AP77)</f>
        <v/>
      </c>
      <c r="AQ79" s="64">
        <f>IF(AQ7*AQ11=0,0,$AM$4*AQ5*AQ50*AQ77)</f>
        <v/>
      </c>
      <c r="AR79" s="64">
        <f>IF(AR7*AR11=0,0,$AM$4*AR5*AR50*AR77)</f>
        <v/>
      </c>
      <c r="AS79" s="64">
        <f>IF(AS7*AS11=0,0,$AM$4*AS5*AS50*AS77)</f>
        <v/>
      </c>
      <c r="AT79" s="64">
        <f>IF(AT7*AT11=0,0,$AM$4*AT5*AT50*AT77)</f>
        <v/>
      </c>
      <c r="AU79" s="64">
        <f>IF(AU7*AU11=0,0,$AM$4*AU5*AU50*AU77)</f>
        <v/>
      </c>
      <c r="AV79" s="64">
        <f>IF(AV7*AV11=0,0,$AM$4*AV5*AV50*AV77)</f>
        <v/>
      </c>
      <c r="AW79" s="64">
        <f>IF(AW7*AW11=0,0,$AM$4*AW5*AW50*AW77)</f>
        <v/>
      </c>
      <c r="AX79" s="64">
        <f>IF(AX7*AX11=0,0,$AM$4*AX5*AX50*AX77)</f>
        <v/>
      </c>
      <c r="AY79" s="64">
        <f>IF(AY7*AY11=0,0,$AM$4*AY5*AY50*AY77)</f>
        <v/>
      </c>
      <c r="AZ79" s="64">
        <f>IF(AZ7*AZ11=0,0,$AM$4*AZ5*AZ50*AZ77)</f>
        <v/>
      </c>
      <c r="BA79" s="64">
        <f>IF(BA7*BA11=0,0,$AM$4*BA5*BA50*BA77)</f>
        <v/>
      </c>
      <c r="BB79" s="64">
        <f>IF(BB7*BB11=0,0,$AM$4*BB5*BB50*BB77)</f>
        <v/>
      </c>
      <c r="BC79" s="64">
        <f>IF(BC7*BC11=0,0,$AM$4*BC5*BC50*BC77)</f>
        <v/>
      </c>
      <c r="BD79" s="64">
        <f>IF(BD7*BD11=0,0,$AM$4*BD5*BD50*BD77)</f>
        <v/>
      </c>
      <c r="BE79" s="64">
        <f>IF(BE7*BE11=0,0,$AM$4*BE5*BE50*BE77)</f>
        <v/>
      </c>
      <c r="BF79" s="64">
        <f>IF(BF7*BF11=0,0,$AM$4*BF5*BF50*BF77)</f>
        <v/>
      </c>
      <c r="BH79" s="64" t="n"/>
      <c r="BI79" s="64" t="inlineStr">
        <is>
          <t>Итого</t>
        </is>
      </c>
      <c r="BK79" s="64" t="n"/>
      <c r="BL79" s="64">
        <f>IF(BL7*BL11=0,0,$AM$4*BL5*BL50*BL77)</f>
        <v/>
      </c>
      <c r="BM79" s="64">
        <f>IF(BM7*BM11=0,0,$AM$4*BM5*BM50*BM77)</f>
        <v/>
      </c>
      <c r="BN79" s="64">
        <f>IF(BN7*BN11=0,0,$AM$4*BN5*BN50*BN77)</f>
        <v/>
      </c>
      <c r="BO79" s="64">
        <f>IF(BO7*BO11=0,0,$AM$4*BO5*BO50*BO77)</f>
        <v/>
      </c>
      <c r="BP79" s="64">
        <f>IF(BP7*BP11=0,0,$AM$4*BP5*BP50*BP77)</f>
        <v/>
      </c>
      <c r="BQ79" s="64">
        <f>IF(BQ7*BQ11=0,0,$AM$4*BQ5*BQ50*BQ77)</f>
        <v/>
      </c>
      <c r="BR79" s="64">
        <f>IF(BR7*BR11=0,0,$AM$4*BR5*BR50*BR77)</f>
        <v/>
      </c>
      <c r="BS79" s="64">
        <f>IF(BS7*BS11=0,0,$AM$4*BS5*BS50*BS77)</f>
        <v/>
      </c>
      <c r="BT79" s="64">
        <f>IF(BT7*BT11=0,0,$AM$4*BT5*BT50*BT77)</f>
        <v/>
      </c>
      <c r="BU79" s="64">
        <f>IF(BU7*BU11=0,0,$AM$4*BU5*BU50*BU77)</f>
        <v/>
      </c>
      <c r="BV79" s="64">
        <f>IF(BV7*BV11=0,0,$AM$4*BV5*BV50*BV77)</f>
        <v/>
      </c>
      <c r="BW79" s="64">
        <f>IF(BW7*BW11=0,0,$AM$4*BW5*BW50*BW77)</f>
        <v/>
      </c>
      <c r="BX79" s="64">
        <f>IF(BX7*BX11=0,0,$AM$4*BX5*BX50*BX77)</f>
        <v/>
      </c>
      <c r="BY79" s="64">
        <f>IF(BY7*BY11=0,0,$AM$4*BY5*BY50*BY77)</f>
        <v/>
      </c>
      <c r="BZ79" s="64">
        <f>IF(BZ7*BZ11=0,0,$AM$4*BZ5*BZ50*BZ77)</f>
        <v/>
      </c>
      <c r="CA79" s="64">
        <f>IF(CA7*CA11=0,0,$AM$4*CA5*CA50*CA77)</f>
        <v/>
      </c>
      <c r="CB79" s="64">
        <f>IF(CB7*CB11=0,0,$AM$4*CB5*CB50*CB77)</f>
        <v/>
      </c>
      <c r="CC79" s="64">
        <f>IF(CC7*CC11=0,0,$AM$4*CC5*CC50*CC77)</f>
        <v/>
      </c>
    </row>
    <row r="80" ht="18.75" customHeight="1">
      <c r="A80" s="3" t="n"/>
      <c r="AE80" s="7" t="n"/>
      <c r="AL80" s="66" t="inlineStr">
        <is>
          <t>срок</t>
        </is>
      </c>
      <c r="AM80" s="2" t="n"/>
      <c r="AN80" s="66" t="n"/>
      <c r="AO80" s="66">
        <f>AO79/180*20/1000</f>
        <v/>
      </c>
      <c r="AP80" s="66">
        <f>AP79/180*20/1000</f>
        <v/>
      </c>
      <c r="AQ80" s="66">
        <f>AQ79/180*20/1000</f>
        <v/>
      </c>
      <c r="AR80" s="66">
        <f>AR79/180*20/1000</f>
        <v/>
      </c>
      <c r="AS80" s="66">
        <f>AS79/180*20/1000</f>
        <v/>
      </c>
      <c r="AT80" s="66">
        <f>AT79/180*20/1000</f>
        <v/>
      </c>
      <c r="AU80" s="66">
        <f>AU79/180*20/1000</f>
        <v/>
      </c>
      <c r="AV80" s="66">
        <f>AV79/180*20/1000</f>
        <v/>
      </c>
      <c r="AW80" s="66">
        <f>AW79/180*20/1000</f>
        <v/>
      </c>
      <c r="AX80" s="66">
        <f>AX79/180*20/1000</f>
        <v/>
      </c>
      <c r="AY80" s="66">
        <f>AY79/180*20/1000</f>
        <v/>
      </c>
      <c r="AZ80" s="66">
        <f>AZ79/180*20/1000</f>
        <v/>
      </c>
      <c r="BA80" s="66">
        <f>BA79/180*20/1000</f>
        <v/>
      </c>
      <c r="BB80" s="66">
        <f>BB79/180*20/1000</f>
        <v/>
      </c>
      <c r="BC80" s="66">
        <f>BC79/180*20/1000</f>
        <v/>
      </c>
      <c r="BD80" s="66">
        <f>BD79/180*20/1000</f>
        <v/>
      </c>
      <c r="BE80" s="66">
        <f>BE79/180*20/1000</f>
        <v/>
      </c>
      <c r="BF80" s="66">
        <f>BF79/180*20/1000</f>
        <v/>
      </c>
      <c r="BH80" s="64" t="n"/>
      <c r="BI80" s="66" t="inlineStr">
        <is>
          <t>срок</t>
        </is>
      </c>
      <c r="BJ80" s="2" t="n"/>
      <c r="BK80" s="66" t="n"/>
      <c r="BL80" s="66">
        <f>BL79/180*20/1000</f>
        <v/>
      </c>
      <c r="BM80" s="66">
        <f>BM79/180*20/1000</f>
        <v/>
      </c>
      <c r="BN80" s="66">
        <f>BN79/180*20/1000</f>
        <v/>
      </c>
      <c r="BO80" s="66">
        <f>BO79/180*20/1000</f>
        <v/>
      </c>
      <c r="BP80" s="66">
        <f>BP79/180*20/1000</f>
        <v/>
      </c>
      <c r="BQ80" s="66">
        <f>BQ79/180*20/1000</f>
        <v/>
      </c>
      <c r="BR80" s="66">
        <f>BR79/180*20/1000</f>
        <v/>
      </c>
      <c r="BS80" s="66">
        <f>BS79/180*20/1000</f>
        <v/>
      </c>
      <c r="BT80" s="66">
        <f>BT79/180*20/1000</f>
        <v/>
      </c>
      <c r="BU80" s="66">
        <f>BU79/180*20/1000</f>
        <v/>
      </c>
      <c r="BV80" s="66">
        <f>BV79/180*20/1000</f>
        <v/>
      </c>
      <c r="BW80" s="66">
        <f>BW79/180*20/1000</f>
        <v/>
      </c>
      <c r="BX80" s="66">
        <f>BX79/180*20/1000</f>
        <v/>
      </c>
      <c r="BY80" s="66">
        <f>BY79/180*20/1000</f>
        <v/>
      </c>
      <c r="BZ80" s="66">
        <f>BZ79/180*20/1000</f>
        <v/>
      </c>
      <c r="CA80" s="66">
        <f>CA79/180*20/1000</f>
        <v/>
      </c>
      <c r="CB80" s="66">
        <f>CB79/180*20/1000</f>
        <v/>
      </c>
      <c r="CC80" s="66">
        <f>CC79/180*20/1000</f>
        <v/>
      </c>
    </row>
    <row r="81" ht="17.25" customHeight="1">
      <c r="A81" s="3" t="n"/>
      <c r="B81" s="95" t="n">
        <v>100</v>
      </c>
      <c r="C81" s="1" t="inlineStr">
        <is>
          <t>м2</t>
        </is>
      </c>
      <c r="M81" s="2" t="n">
        <v>10</v>
      </c>
      <c r="AE81" s="7" t="n"/>
    </row>
    <row r="82" ht="5.25" customHeight="1">
      <c r="A82" s="3" t="n"/>
      <c r="AE82" s="7" t="n"/>
    </row>
    <row r="83">
      <c r="A83" s="3" t="n"/>
      <c r="AE83" s="7" t="n"/>
    </row>
    <row r="84" ht="4.5" customHeight="1">
      <c r="A84" s="3" t="n"/>
      <c r="AE84" s="7" t="n"/>
    </row>
    <row r="85" ht="17.25" customHeight="1">
      <c r="A85" s="3" t="n"/>
      <c r="B85" s="95" t="n"/>
      <c r="C85" s="1" t="inlineStr">
        <is>
          <t>м2</t>
        </is>
      </c>
      <c r="M85" s="2" t="n"/>
      <c r="AE85" s="7" t="n"/>
    </row>
    <row r="86" ht="15.75" customHeight="1">
      <c r="A86" s="3" t="n"/>
      <c r="AE86" s="7" t="n"/>
    </row>
    <row r="87" ht="6" customHeight="1">
      <c r="A87" s="3" t="n"/>
      <c r="AE87" s="7" t="n"/>
    </row>
    <row r="88" ht="17.25" customHeight="1">
      <c r="A88" s="3" t="n"/>
      <c r="B88" s="95" t="n"/>
      <c r="C88" s="1" t="inlineStr">
        <is>
          <t>м2</t>
        </is>
      </c>
      <c r="AE88" s="7" t="n"/>
    </row>
    <row r="89" ht="15.75" customHeight="1" thickBo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10" t="n"/>
    </row>
  </sheetData>
  <mergeCells count="25">
    <mergeCell ref="V16:Y16"/>
    <mergeCell ref="Z20:AC20"/>
    <mergeCell ref="Z19:AC19"/>
    <mergeCell ref="Z15:AC15"/>
    <mergeCell ref="S19:U19"/>
    <mergeCell ref="V18:Y18"/>
    <mergeCell ref="S15:U15"/>
    <mergeCell ref="V12:Y14"/>
    <mergeCell ref="V17:Y17"/>
    <mergeCell ref="P2:W2"/>
    <mergeCell ref="S20:U20"/>
    <mergeCell ref="V20:Y20"/>
    <mergeCell ref="Z16:AC16"/>
    <mergeCell ref="V19:Y19"/>
    <mergeCell ref="S16:U16"/>
    <mergeCell ref="Z18:AC18"/>
    <mergeCell ref="Z10:AA10"/>
    <mergeCell ref="S18:U18"/>
    <mergeCell ref="V15:Y15"/>
    <mergeCell ref="Z17:AC17"/>
    <mergeCell ref="Z12:AC14"/>
    <mergeCell ref="S10:Y10"/>
    <mergeCell ref="S17:U17"/>
    <mergeCell ref="S12:U14"/>
    <mergeCell ref="Z9:AA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6"/>
  <sheetViews>
    <sheetView topLeftCell="A486" zoomScale="85" zoomScaleNormal="85" workbookViewId="0">
      <selection activeCell="A501" sqref="A501"/>
    </sheetView>
  </sheetViews>
  <sheetFormatPr baseColWidth="8" defaultRowHeight="15"/>
  <cols>
    <col width="73.28515625" customWidth="1" style="16" min="1" max="1"/>
    <col width="9.140625" customWidth="1" style="16" min="2" max="2"/>
    <col width="29.7109375" customWidth="1" style="16" min="3" max="3"/>
    <col width="86.85546875" customWidth="1" style="16" min="4" max="4"/>
    <col width="12.5703125" customWidth="1" style="16" min="5" max="5"/>
    <col width="10.85546875" customWidth="1" style="16" min="6" max="6"/>
    <col width="13.85546875" customWidth="1" style="16" min="7" max="7"/>
    <col width="16.42578125" customWidth="1" style="16" min="8" max="8"/>
    <col width="9.140625" customWidth="1" style="16" min="9" max="10"/>
    <col width="17.5703125" customWidth="1" style="16" min="11" max="11"/>
    <col width="9.140625" customWidth="1" style="16" min="12" max="23"/>
    <col width="9.140625" customWidth="1" style="16" min="24" max="24"/>
    <col width="67.7109375" bestFit="1" customWidth="1" style="16" min="25" max="25"/>
    <col width="9.140625" customWidth="1" style="16" min="26" max="16384"/>
  </cols>
  <sheetData>
    <row r="1" ht="15.75" customHeight="1" thickBot="1">
      <c r="A1" s="11" t="inlineStr">
        <is>
          <t>великан однопролетный двускатный каркас КМ -</t>
        </is>
      </c>
      <c r="B1" s="12" t="n">
        <v>1.8</v>
      </c>
      <c r="C1" s="13" t="n"/>
      <c r="D1" s="14" t="n"/>
      <c r="E1" s="153">
        <f>F1*B1</f>
        <v/>
      </c>
      <c r="F1" s="16" t="n">
        <v>80</v>
      </c>
      <c r="G1" s="17" t="inlineStr">
        <is>
          <t>0,3 колонна</t>
        </is>
      </c>
      <c r="H1" s="17" t="inlineStr">
        <is>
          <t>0,7 ферма</t>
        </is>
      </c>
      <c r="I1" s="17" t="inlineStr">
        <is>
          <t>0,15 СГ</t>
        </is>
      </c>
      <c r="J1" s="17" t="inlineStr">
        <is>
          <t>0,15 СВ</t>
        </is>
      </c>
      <c r="K1" s="17" t="inlineStr">
        <is>
          <t>0,5 остальное</t>
        </is>
      </c>
      <c r="Y1" s="16" t="inlineStr">
        <is>
          <t>ферма</t>
        </is>
      </c>
    </row>
    <row r="2" ht="15.75" customHeight="1" thickBot="1"/>
    <row r="3" ht="15.75" customHeight="1" thickBot="1">
      <c r="A3" s="11" t="inlineStr">
        <is>
          <t>атлант однопролетный двускатный каркас КМ -</t>
        </is>
      </c>
      <c r="B3" s="12" t="n">
        <v>1.6</v>
      </c>
      <c r="C3" s="13" t="n"/>
      <c r="D3" s="14" t="n"/>
      <c r="E3" s="153">
        <f>F3*B3</f>
        <v/>
      </c>
      <c r="F3" s="16" t="n">
        <v>80</v>
      </c>
      <c r="G3" s="17" t="inlineStr">
        <is>
          <t>0,3 колонна</t>
        </is>
      </c>
      <c r="H3" s="17" t="inlineStr">
        <is>
          <t>0,5 балка</t>
        </is>
      </c>
      <c r="I3" s="17" t="inlineStr">
        <is>
          <t>0,15 СГ</t>
        </is>
      </c>
      <c r="J3" s="17" t="inlineStr">
        <is>
          <t>0,15 СВ</t>
        </is>
      </c>
      <c r="K3" s="17" t="inlineStr">
        <is>
          <t>0,5 остальное</t>
        </is>
      </c>
      <c r="Y3" s="16" t="inlineStr">
        <is>
          <t>балка</t>
        </is>
      </c>
    </row>
    <row r="4" ht="15.75" customHeight="1" thickBot="1"/>
    <row r="5" ht="15.75" customHeight="1" thickBot="1">
      <c r="A5" s="11" t="inlineStr">
        <is>
          <t>атлант-М однопролетный двускатный каркас КМ -</t>
        </is>
      </c>
      <c r="B5" s="12" t="n">
        <v>1.7</v>
      </c>
      <c r="C5" s="13" t="n"/>
      <c r="D5" s="14" t="n"/>
      <c r="E5" s="153">
        <f>F5*B5</f>
        <v/>
      </c>
      <c r="F5" s="16" t="n">
        <v>80</v>
      </c>
      <c r="G5" s="17" t="inlineStr">
        <is>
          <t>0,25 колонна</t>
        </is>
      </c>
      <c r="H5" s="17" t="inlineStr">
        <is>
          <t>0,65 б + зат</t>
        </is>
      </c>
      <c r="I5" s="17" t="inlineStr">
        <is>
          <t>0,15 СГ</t>
        </is>
      </c>
      <c r="J5" s="17" t="inlineStr">
        <is>
          <t>0,15 СВ</t>
        </is>
      </c>
      <c r="K5" s="17" t="inlineStr">
        <is>
          <t>0,5 остальное</t>
        </is>
      </c>
      <c r="Y5" s="16" t="inlineStr">
        <is>
          <t>балка с затяжкой</t>
        </is>
      </c>
    </row>
    <row r="6" ht="15.75" customHeight="1" thickBot="1"/>
    <row r="7">
      <c r="A7" s="18" t="inlineStr">
        <is>
          <t>высота до 6 вкл -</t>
        </is>
      </c>
      <c r="B7" s="19" t="n">
        <v>0</v>
      </c>
      <c r="C7" s="19" t="n"/>
      <c r="D7" s="20" t="n"/>
      <c r="E7" s="16">
        <f>$F$1*B7</f>
        <v/>
      </c>
      <c r="F7" s="16">
        <f>E7+$E$1</f>
        <v/>
      </c>
      <c r="H7" s="16" t="n">
        <v>6</v>
      </c>
      <c r="I7" s="16">
        <f>IF('Сроки и стоимость'!$F$43&lt;='Атлант, Великан'!H7,'Атлант, Великан'!B7,0)</f>
        <v/>
      </c>
    </row>
    <row r="8">
      <c r="A8" s="21" t="inlineStr">
        <is>
          <t xml:space="preserve">высота от 6 до 7 вкл - </t>
        </is>
      </c>
      <c r="B8" s="16" t="n">
        <v>0.25</v>
      </c>
      <c r="D8" s="22" t="n"/>
      <c r="E8" s="16">
        <f>$F$1*B8</f>
        <v/>
      </c>
      <c r="F8" s="16">
        <f>E8+$E$1</f>
        <v/>
      </c>
      <c r="H8" s="16" t="n">
        <v>7</v>
      </c>
      <c r="I8" s="16">
        <f>IF(AND('Сроки и стоимость'!$F$43&gt;'Атлант, Великан'!H7,'Сроки и стоимость'!$F$43&lt;='Атлант, Великан'!H8),'Атлант, Великан'!B8,0)</f>
        <v/>
      </c>
      <c r="Y8" s="16" t="inlineStr">
        <is>
          <t>за доп вертикальные связи по продольной стороне</t>
        </is>
      </c>
    </row>
    <row r="9">
      <c r="A9" s="21" t="inlineStr">
        <is>
          <t xml:space="preserve">высота от 7 до 9 вкл - </t>
        </is>
      </c>
      <c r="B9" s="16" t="n">
        <v>0.5</v>
      </c>
      <c r="D9" s="22" t="n"/>
      <c r="E9" s="16">
        <f>$F$1*B9</f>
        <v/>
      </c>
      <c r="F9" s="16">
        <f>E9+$E$1</f>
        <v/>
      </c>
      <c r="H9" s="16" t="n">
        <v>9</v>
      </c>
      <c r="I9" s="16">
        <f>IF(AND('Сроки и стоимость'!$F$43&gt;'Атлант, Великан'!H8,'Сроки и стоимость'!$F$43&lt;='Атлант, Великан'!H9),'Атлант, Великан'!B9,0)</f>
        <v/>
      </c>
      <c r="Y9" s="16" t="inlineStr">
        <is>
          <t>за доп вертикальные связи по продольной стороне + распорки</t>
        </is>
      </c>
    </row>
    <row r="10">
      <c r="A10" s="21" t="inlineStr">
        <is>
          <t xml:space="preserve">высота от 9 до 12 вкл - </t>
        </is>
      </c>
      <c r="B10" s="16" t="n">
        <v>1</v>
      </c>
      <c r="D10" s="22" t="n"/>
      <c r="E10" s="16">
        <f>$F$1*B10</f>
        <v/>
      </c>
      <c r="F10" s="16">
        <f>E10+$E$1</f>
        <v/>
      </c>
      <c r="H10" s="16" t="n">
        <v>12</v>
      </c>
      <c r="I10" s="16">
        <f>IF(AND('Сроки и стоимость'!$F$43&gt;'Атлант, Великан'!H9,'Сроки и стоимость'!$F$43&lt;='Атлант, Великан'!H10),'Атлант, Великан'!B10,0)</f>
        <v/>
      </c>
      <c r="Y10" s="16" t="inlineStr">
        <is>
          <t>за доп вертикальные связи по продольной стороне и торце + распорки</t>
        </is>
      </c>
    </row>
    <row r="11" ht="15.75" customHeight="1" thickBot="1">
      <c r="A11" s="23" t="inlineStr">
        <is>
          <t xml:space="preserve">высота от 12 - </t>
        </is>
      </c>
      <c r="B11" s="24" t="n">
        <v>0.75</v>
      </c>
      <c r="C11" s="24" t="n"/>
      <c r="D11" s="25" t="inlineStr">
        <is>
          <t>за каждые 3 метра</t>
        </is>
      </c>
      <c r="E11" s="16">
        <f>$F$1*B11</f>
        <v/>
      </c>
      <c r="F11" s="16">
        <f>E11+$E$1</f>
        <v/>
      </c>
      <c r="G11" s="16" t="n">
        <v>3</v>
      </c>
      <c r="H11" s="16" t="n">
        <v>12</v>
      </c>
      <c r="I11" s="16">
        <f>IF('Сроки и стоимость'!$F$43&gt;'Атлант, Великан'!H11,'Атлант, Великан'!B11*_xlfn.CEILING.MATH(('Сроки и стоимость'!$F$43-'Атлант, Великан'!H11)/'Атлант, Великан'!G11),0)</f>
        <v/>
      </c>
      <c r="J11" s="16">
        <f>SUM(I7:I11)</f>
        <v/>
      </c>
      <c r="Y11" s="16" t="inlineStr">
        <is>
          <t>за доп вертикальные связи</t>
        </is>
      </c>
    </row>
    <row r="12" ht="15.75" customHeight="1" thickBot="1"/>
    <row r="13">
      <c r="A13" s="26" t="inlineStr">
        <is>
          <t>кран опорный Великан, Аталант, Атлант-М -</t>
        </is>
      </c>
      <c r="B13" s="19" t="n">
        <v>0.75</v>
      </c>
      <c r="C13" s="19" t="n"/>
      <c r="D13" s="20" t="n"/>
      <c r="E13" s="16">
        <f>$F$1*B13</f>
        <v/>
      </c>
      <c r="F13" s="16">
        <f>E13+$E$1</f>
        <v/>
      </c>
    </row>
    <row r="14" ht="15.75" customHeight="1" thickBot="1">
      <c r="A14" s="27" t="inlineStr">
        <is>
          <t>кран подвесной Великан, Аталант -</t>
        </is>
      </c>
      <c r="B14" s="28" t="n">
        <v>0.6</v>
      </c>
      <c r="C14" s="28" t="n"/>
      <c r="D14" s="25" t="n"/>
      <c r="E14" s="16">
        <f>$F$1*B14</f>
        <v/>
      </c>
      <c r="F14" s="16">
        <f>E14+$E$1</f>
        <v/>
      </c>
    </row>
    <row r="15" ht="15.75" customHeight="1" thickBot="1"/>
    <row r="16" ht="15.75" customHeight="1" thickBot="1">
      <c r="A16" s="29" t="inlineStr">
        <is>
          <t xml:space="preserve">великан однопролетный односкатный каркас КМ - </t>
        </is>
      </c>
      <c r="B16" s="12" t="n">
        <v>2</v>
      </c>
      <c r="C16" s="12" t="n"/>
      <c r="D16" s="30" t="n"/>
      <c r="E16" s="153">
        <f>F16*B16</f>
        <v/>
      </c>
      <c r="F16" s="16" t="n">
        <v>80</v>
      </c>
      <c r="Y16" s="16" t="inlineStr">
        <is>
          <t>за колонны и гор. и вертикальные связи</t>
        </is>
      </c>
    </row>
    <row r="17" ht="15.75" customHeight="1" thickBot="1"/>
    <row r="18" ht="15.75" customHeight="1" thickBot="1">
      <c r="A18" s="29" t="inlineStr">
        <is>
          <t xml:space="preserve">атлант однопролетный односкатный каркас КМ - </t>
        </is>
      </c>
      <c r="B18" s="12" t="n">
        <v>1.8</v>
      </c>
      <c r="C18" s="12" t="n"/>
      <c r="D18" s="30" t="n"/>
      <c r="E18" s="153">
        <f>F18*B18</f>
        <v/>
      </c>
      <c r="F18" s="16" t="n">
        <v>80</v>
      </c>
      <c r="Y18" s="16" t="inlineStr">
        <is>
          <t>за колонны и гор. и вертикальные связи</t>
        </is>
      </c>
    </row>
    <row r="19" ht="15.75" customHeight="1" thickBot="1"/>
    <row r="20" ht="15.75" customHeight="1" thickBot="1">
      <c r="A20" s="29" t="inlineStr">
        <is>
          <t xml:space="preserve">атлант-М однопролетный односкатный каркас КМ - </t>
        </is>
      </c>
      <c r="B20" s="12" t="n">
        <v>1.9</v>
      </c>
      <c r="C20" s="12" t="n"/>
      <c r="D20" s="30" t="n"/>
      <c r="E20" s="153">
        <f>F20*B20</f>
        <v/>
      </c>
      <c r="F20" s="16" t="n">
        <v>80</v>
      </c>
      <c r="Y20" s="16" t="inlineStr">
        <is>
          <t>за колонны и гор. и вертикальные связи</t>
        </is>
      </c>
    </row>
    <row r="21" ht="15.75" customHeight="1" thickBot="1"/>
    <row r="22">
      <c r="A22" s="18" t="inlineStr">
        <is>
          <t>высота до 4 вкл -</t>
        </is>
      </c>
      <c r="B22" s="19" t="n">
        <v>0</v>
      </c>
      <c r="C22" s="19" t="n"/>
      <c r="D22" s="20" t="n"/>
      <c r="E22" s="16">
        <f>$F$1*B22</f>
        <v/>
      </c>
      <c r="F22" s="16">
        <f>E22+$E$1</f>
        <v/>
      </c>
      <c r="H22" s="16" t="n">
        <v>4</v>
      </c>
      <c r="I22" s="16">
        <f>IF('Сроки и стоимость'!$F$43&lt;='Атлант, Великан'!H22,'Атлант, Великан'!B22,0)</f>
        <v/>
      </c>
    </row>
    <row r="23">
      <c r="A23" s="21" t="inlineStr">
        <is>
          <t xml:space="preserve">высота от 4 до 6 вкл - </t>
        </is>
      </c>
      <c r="B23" s="16" t="n">
        <v>0.3</v>
      </c>
      <c r="D23" s="22" t="n"/>
      <c r="E23" s="16">
        <f>$F$1*B23</f>
        <v/>
      </c>
      <c r="F23" s="16">
        <f>E23+$E$1</f>
        <v/>
      </c>
      <c r="H23" s="16" t="n">
        <v>6</v>
      </c>
      <c r="I23" s="16">
        <f>IF(AND('Сроки и стоимость'!$F$43&gt;'Атлант, Великан'!H22,'Сроки и стоимость'!$F$43&lt;='Атлант, Великан'!H23),'Атлант, Великан'!B23,0)</f>
        <v/>
      </c>
      <c r="Y23" s="16" t="inlineStr">
        <is>
          <t>за доп вертикальные связи по продольной стороне</t>
        </is>
      </c>
    </row>
    <row r="24">
      <c r="A24" s="21" t="inlineStr">
        <is>
          <t xml:space="preserve">высота от 6 до 9 вкл - </t>
        </is>
      </c>
      <c r="B24" s="16" t="n">
        <v>0.8</v>
      </c>
      <c r="D24" s="22" t="n"/>
      <c r="E24" s="16">
        <f>$F$1*B24</f>
        <v/>
      </c>
      <c r="F24" s="16">
        <f>E24+$E$1</f>
        <v/>
      </c>
      <c r="H24" s="16" t="n">
        <v>9</v>
      </c>
      <c r="I24" s="16">
        <f>IF(AND('Сроки и стоимость'!$F$43&gt;'Атлант, Великан'!H23,'Сроки и стоимость'!$F$43&lt;='Атлант, Великан'!H24),'Атлант, Великан'!B24,0)</f>
        <v/>
      </c>
      <c r="Y24" s="16" t="inlineStr">
        <is>
          <t>за доп вертикальные связи по продольной стороне + распорки</t>
        </is>
      </c>
    </row>
    <row r="25">
      <c r="A25" s="21" t="inlineStr">
        <is>
          <t xml:space="preserve">высота от 9 до 12 вкл - </t>
        </is>
      </c>
      <c r="B25" s="31" t="n">
        <v>1.3</v>
      </c>
      <c r="C25" s="31" t="n"/>
      <c r="D25" s="22" t="n"/>
      <c r="E25" s="16">
        <f>$F$1*B25</f>
        <v/>
      </c>
      <c r="F25" s="16">
        <f>E25+$E$1</f>
        <v/>
      </c>
      <c r="H25" s="16" t="n">
        <v>12</v>
      </c>
      <c r="I25" s="16">
        <f>IF(AND('Сроки и стоимость'!$F$43&gt;'Атлант, Великан'!H24,'Сроки и стоимость'!$F$43&lt;='Атлант, Великан'!H25),'Атлант, Великан'!B25,0)</f>
        <v/>
      </c>
      <c r="Y25" s="16" t="inlineStr">
        <is>
          <t>за доп вертикальные связи по продольной стороне и торце + распорки</t>
        </is>
      </c>
    </row>
    <row r="26" ht="15.75" customHeight="1" thickBot="1">
      <c r="A26" s="23" t="inlineStr">
        <is>
          <t xml:space="preserve">высота от 12 - </t>
        </is>
      </c>
      <c r="B26" s="24" t="n">
        <v>0.75</v>
      </c>
      <c r="C26" s="24" t="n"/>
      <c r="D26" s="25" t="inlineStr">
        <is>
          <t>за каждые 3 метра</t>
        </is>
      </c>
      <c r="G26" s="16" t="n">
        <v>3</v>
      </c>
      <c r="H26" s="16" t="n">
        <v>12</v>
      </c>
      <c r="I26" s="16">
        <f>IF('Сроки и стоимость'!$F$43&gt;'Атлант, Великан'!H26,'Атлант, Великан'!B26*_xlfn.CEILING.MATH(('Сроки и стоимость'!$F$43-'Атлант, Великан'!H26)/'Атлант, Великан'!G26),0)</f>
        <v/>
      </c>
      <c r="J26" s="16">
        <f>SUM(I22:I26)</f>
        <v/>
      </c>
      <c r="Y26" s="16" t="inlineStr">
        <is>
          <t>за доп вертикальные связи</t>
        </is>
      </c>
    </row>
    <row r="27" ht="15.75" customHeight="1" thickBot="1"/>
    <row r="28">
      <c r="A28" s="26" t="inlineStr">
        <is>
          <t>кран опорный Великан, Аталант, Атлант-М -</t>
        </is>
      </c>
      <c r="B28" s="19" t="n">
        <v>0.9</v>
      </c>
      <c r="C28" s="19" t="n"/>
      <c r="D28" s="20" t="n"/>
      <c r="E28" s="16">
        <f>$F$1*B28</f>
        <v/>
      </c>
      <c r="F28" s="16">
        <f>E28+$E$1</f>
        <v/>
      </c>
      <c r="Y28" s="16" t="inlineStr">
        <is>
          <t>вероятно разные сечения колонн</t>
        </is>
      </c>
    </row>
    <row r="29" ht="15.75" customHeight="1" thickBot="1">
      <c r="A29" s="27" t="inlineStr">
        <is>
          <t>кран подвесной Великан, Аталант -</t>
        </is>
      </c>
      <c r="B29" s="28" t="n">
        <v>0.7</v>
      </c>
      <c r="C29" s="28" t="n"/>
      <c r="D29" s="25" t="n"/>
      <c r="E29" s="16">
        <f>$F$1*B29</f>
        <v/>
      </c>
      <c r="F29" s="16">
        <f>E29+$E$1</f>
        <v/>
      </c>
    </row>
    <row r="30" ht="15.75" customHeight="1" thickBot="1"/>
    <row r="31" ht="15.75" customHeight="1" thickBot="1">
      <c r="A31" s="29" t="inlineStr">
        <is>
          <t xml:space="preserve">великан многопролетный двускатный каркас КМ - </t>
        </is>
      </c>
      <c r="B31" s="12" t="n">
        <v>1.8</v>
      </c>
      <c r="C31" s="12" t="n">
        <v>0.4</v>
      </c>
      <c r="D31" s="30" t="inlineStr">
        <is>
          <t xml:space="preserve">за каждый пролет после 1-го (за колонны) </t>
        </is>
      </c>
      <c r="E31" s="153">
        <f>G31*B31</f>
        <v/>
      </c>
      <c r="F31" s="153">
        <f>G31*C31</f>
        <v/>
      </c>
      <c r="G31" s="16" t="n">
        <v>80</v>
      </c>
      <c r="Y31" s="16" t="inlineStr">
        <is>
          <t>за колонны и гор. связи</t>
        </is>
      </c>
    </row>
    <row r="32" ht="15.75" customHeight="1" thickBot="1"/>
    <row r="33" ht="15.75" customHeight="1" thickBot="1">
      <c r="A33" s="29" t="inlineStr">
        <is>
          <t xml:space="preserve">атлант многопролетный двускатный каркас КМ - </t>
        </is>
      </c>
      <c r="B33" s="12" t="n">
        <v>1.6</v>
      </c>
      <c r="C33" s="12" t="n">
        <v>0.4</v>
      </c>
      <c r="D33" s="30" t="inlineStr">
        <is>
          <t xml:space="preserve">за каждый пролет после 1-го (за колонны) </t>
        </is>
      </c>
      <c r="E33" s="153">
        <f>G33*B33</f>
        <v/>
      </c>
      <c r="F33" s="153">
        <f>G33*C33</f>
        <v/>
      </c>
      <c r="G33" s="16" t="n">
        <v>80</v>
      </c>
      <c r="Y33" s="16" t="inlineStr">
        <is>
          <t>за колонны и гор. связи</t>
        </is>
      </c>
    </row>
    <row r="34" ht="15.75" customHeight="1" thickBot="1"/>
    <row r="35" ht="15.75" customHeight="1" thickBot="1">
      <c r="A35" s="29" t="inlineStr">
        <is>
          <t xml:space="preserve">атлант-М многопролетный двускатный каркас КМ - </t>
        </is>
      </c>
      <c r="B35" s="12" t="n">
        <v>1.7</v>
      </c>
      <c r="C35" s="12" t="n">
        <v>0.35</v>
      </c>
      <c r="D35" s="30" t="inlineStr">
        <is>
          <t xml:space="preserve">за каждый пролет после 1-го (за колонны) </t>
        </is>
      </c>
      <c r="E35" s="153">
        <f>G35*B35</f>
        <v/>
      </c>
      <c r="F35" s="153">
        <f>G35*C35</f>
        <v/>
      </c>
      <c r="G35" s="16" t="n">
        <v>80</v>
      </c>
      <c r="Y35" s="16" t="inlineStr">
        <is>
          <t>за колонны и гор. связи</t>
        </is>
      </c>
    </row>
    <row r="36" ht="15.75" customHeight="1" thickBot="1"/>
    <row r="37">
      <c r="A37" s="18" t="inlineStr">
        <is>
          <t>высота до 6 вкл -</t>
        </is>
      </c>
      <c r="B37" s="19" t="n">
        <v>0</v>
      </c>
      <c r="C37" s="19" t="n"/>
      <c r="D37" s="20" t="n"/>
      <c r="E37" s="16">
        <f>$F$1*B37</f>
        <v/>
      </c>
      <c r="F37" s="16">
        <f>E37+$E$1</f>
        <v/>
      </c>
      <c r="H37" s="16" t="n">
        <v>6</v>
      </c>
      <c r="I37" s="16">
        <f>IF('Сроки и стоимость'!$F$43&lt;='Атлант, Великан'!H37,'Атлант, Великан'!B37,0)</f>
        <v/>
      </c>
    </row>
    <row r="38">
      <c r="A38" s="21" t="inlineStr">
        <is>
          <t>за каждый пролет -</t>
        </is>
      </c>
      <c r="B38" s="31" t="n">
        <v>0</v>
      </c>
      <c r="C38" s="31" t="n"/>
      <c r="D38" s="22" t="inlineStr">
        <is>
          <t xml:space="preserve"> -0,1+0,1*(n-1)², где n - кол-во пролетов</t>
        </is>
      </c>
      <c r="E38" s="16">
        <f>$F$1*B38</f>
        <v/>
      </c>
      <c r="F38" s="16">
        <f>E38+$E$1</f>
        <v/>
      </c>
      <c r="H38" s="16" t="n">
        <v>6</v>
      </c>
      <c r="I38" s="16">
        <f>IF('Сроки и стоимость'!$F$43&lt;='Атлант, Великан'!H38,'Атлант, Великан'!B38-0.1+0.1*('Сроки и стоимость'!$D$33-1)^2,0)</f>
        <v/>
      </c>
    </row>
    <row r="39">
      <c r="A39" s="32" t="inlineStr">
        <is>
          <t xml:space="preserve">высота от 6 до 7 вкл - </t>
        </is>
      </c>
      <c r="B39" s="16" t="n">
        <v>0.25</v>
      </c>
      <c r="D39" s="22" t="n"/>
      <c r="E39" s="16">
        <f>$F$1*B39</f>
        <v/>
      </c>
      <c r="F39" s="16">
        <f>E39+$E$1</f>
        <v/>
      </c>
      <c r="H39" s="16" t="n">
        <v>7</v>
      </c>
      <c r="I39" s="16">
        <f>IF(AND('Сроки и стоимость'!$F$43&gt;'Атлант, Великан'!H37,'Сроки и стоимость'!$F$43&lt;='Атлант, Великан'!H39),'Атлант, Великан'!B39,0)</f>
        <v/>
      </c>
      <c r="Y39" s="16" t="inlineStr">
        <is>
          <t>за доп вертикальные связи по продольной стороне</t>
        </is>
      </c>
    </row>
    <row r="40">
      <c r="A40" s="32" t="inlineStr">
        <is>
          <t>за каждый пролет -</t>
        </is>
      </c>
      <c r="B40" s="31" t="n">
        <v>0.15</v>
      </c>
      <c r="C40" s="31" t="n"/>
      <c r="D40" s="22" t="inlineStr">
        <is>
          <t xml:space="preserve"> +0,1*(n-1)², где n - кол-во пролетов</t>
        </is>
      </c>
      <c r="E40" s="16">
        <f>$F$1*B40</f>
        <v/>
      </c>
      <c r="F40" s="16">
        <f>E40+$E$1</f>
        <v/>
      </c>
      <c r="H40" s="16" t="n">
        <v>7</v>
      </c>
      <c r="I40" s="16">
        <f>IF(AND('Сроки и стоимость'!$F$43&gt;'Атлант, Великан'!H38,'Сроки и стоимость'!$F$43&lt;='Атлант, Великан'!H40),'Атлант, Великан'!B40+0.1*('Сроки и стоимость'!$D$33-1)^2,0)</f>
        <v/>
      </c>
      <c r="Y40" s="16" t="inlineStr">
        <is>
          <t>за доп вертикальные связи по продольной стороне</t>
        </is>
      </c>
    </row>
    <row r="41">
      <c r="A41" s="33" t="inlineStr">
        <is>
          <t xml:space="preserve">высота от 7 до 9 вкл - </t>
        </is>
      </c>
      <c r="B41" s="16" t="n">
        <v>0.5</v>
      </c>
      <c r="D41" s="22" t="n"/>
      <c r="E41" s="16">
        <f>$F$1*B41</f>
        <v/>
      </c>
      <c r="F41" s="16">
        <f>E41+$E$1</f>
        <v/>
      </c>
      <c r="H41" s="16" t="n">
        <v>9</v>
      </c>
      <c r="I41" s="16">
        <f>IF(AND('Сроки и стоимость'!$F$43&gt;'Атлант, Великан'!H39,'Сроки и стоимость'!$F$43&lt;='Атлант, Великан'!H41),'Атлант, Великан'!B41,0)</f>
        <v/>
      </c>
      <c r="Y41" s="16" t="inlineStr">
        <is>
          <t>за доп вертикальные связи по продольной стороне + распорки</t>
        </is>
      </c>
    </row>
    <row r="42">
      <c r="A42" s="33" t="inlineStr">
        <is>
          <t>за каждый пролет -</t>
        </is>
      </c>
      <c r="B42" s="31" t="n">
        <v>0.3</v>
      </c>
      <c r="C42" s="31" t="n"/>
      <c r="D42" s="22" t="inlineStr">
        <is>
          <t xml:space="preserve"> +0,1*(n-1)², где n - кол-во пролетов</t>
        </is>
      </c>
      <c r="E42" s="16">
        <f>$F$1*B42</f>
        <v/>
      </c>
      <c r="F42" s="16">
        <f>E42+$E$1</f>
        <v/>
      </c>
      <c r="H42" s="16" t="n">
        <v>9</v>
      </c>
      <c r="I42" s="16">
        <f>IF(AND('Сроки и стоимость'!$F$43&gt;'Атлант, Великан'!H40,'Сроки и стоимость'!$F$43&lt;='Атлант, Великан'!H42),'Атлант, Великан'!B42+0.1*('Сроки и стоимость'!$D$33-1)^2,0)</f>
        <v/>
      </c>
      <c r="Y42" s="16" t="inlineStr">
        <is>
          <t>за доп вертикальные связи по продольной стороне + распорки</t>
        </is>
      </c>
    </row>
    <row r="43">
      <c r="A43" s="34" t="inlineStr">
        <is>
          <t xml:space="preserve">высота от 9 до 12 вкл - </t>
        </is>
      </c>
      <c r="B43" s="16" t="n">
        <v>1</v>
      </c>
      <c r="D43" s="22" t="n"/>
      <c r="E43" s="16">
        <f>$F$1*B43</f>
        <v/>
      </c>
      <c r="F43" s="16">
        <f>E43+$E$1</f>
        <v/>
      </c>
      <c r="H43" s="16" t="n">
        <v>12</v>
      </c>
      <c r="I43" s="16">
        <f>IF(AND('Сроки и стоимость'!$F$43&gt;'Атлант, Великан'!H41,'Сроки и стоимость'!$F$43&lt;='Атлант, Великан'!H43),'Атлант, Великан'!B43,0)</f>
        <v/>
      </c>
      <c r="Y43" s="16" t="inlineStr">
        <is>
          <t>за доп вертикальные связи по продольной стороне и торце + распорки</t>
        </is>
      </c>
    </row>
    <row r="44">
      <c r="A44" s="34" t="inlineStr">
        <is>
          <t>за каждый пролет -</t>
        </is>
      </c>
      <c r="B44" s="31" t="n">
        <v>0.45</v>
      </c>
      <c r="C44" s="31" t="n"/>
      <c r="D44" s="22" t="inlineStr">
        <is>
          <t xml:space="preserve"> +0,1*(n-1)², где n - кол-во пролетов</t>
        </is>
      </c>
      <c r="E44" s="16">
        <f>$F$1*B44</f>
        <v/>
      </c>
      <c r="F44" s="16">
        <f>E44+$E$1</f>
        <v/>
      </c>
      <c r="H44" s="16" t="n">
        <v>12</v>
      </c>
      <c r="I44" s="16">
        <f>IF(AND('Сроки и стоимость'!$F$43&gt;'Атлант, Великан'!H42,'Сроки и стоимость'!$F$43&lt;='Атлант, Великан'!H44),'Атлант, Великан'!B44+0.1*('Сроки и стоимость'!$D$33-1)^2,0)</f>
        <v/>
      </c>
      <c r="Y44" s="16" t="inlineStr">
        <is>
          <t>за доп вертикальные связи по продольной стороне и торце + распорки</t>
        </is>
      </c>
    </row>
    <row r="45">
      <c r="A45" s="35" t="inlineStr">
        <is>
          <t xml:space="preserve">высота от 12 - </t>
        </is>
      </c>
      <c r="B45" s="31" t="n">
        <v>0.75</v>
      </c>
      <c r="C45" s="31" t="n"/>
      <c r="D45" s="22" t="inlineStr">
        <is>
          <t>за каждые 3 метра</t>
        </is>
      </c>
      <c r="E45" s="16">
        <f>$F$1*B45</f>
        <v/>
      </c>
      <c r="F45" s="16">
        <f>E45+$E$1</f>
        <v/>
      </c>
      <c r="G45" s="16" t="n">
        <v>3</v>
      </c>
      <c r="H45" s="16" t="n">
        <v>12</v>
      </c>
      <c r="I45" s="16">
        <f>IF('Сроки и стоимость'!$F$43&gt;'Атлант, Великан'!H45,'Атлант, Великан'!B45*_xlfn.CEILING.MATH(('Сроки и стоимость'!$F$43-'Атлант, Великан'!H45)/'Атлант, Великан'!G45),0)</f>
        <v/>
      </c>
      <c r="Y45" s="16" t="inlineStr">
        <is>
          <t>за доп вертикальные связи + распорки</t>
        </is>
      </c>
    </row>
    <row r="46" ht="15.75" customHeight="1" thickBot="1">
      <c r="A46" s="36" t="inlineStr">
        <is>
          <t>за каждый пролет -</t>
        </is>
      </c>
      <c r="B46" s="24" t="n">
        <v>0.45</v>
      </c>
      <c r="C46" s="24" t="n"/>
      <c r="D46" s="25" t="inlineStr">
        <is>
          <t xml:space="preserve"> +0,1*(n-1)², где n - кол-во пролетов</t>
        </is>
      </c>
      <c r="E46" s="16">
        <f>$F$1*B46</f>
        <v/>
      </c>
      <c r="F46" s="16">
        <f>E46+$E$1</f>
        <v/>
      </c>
      <c r="H46" s="16" t="n">
        <v>12</v>
      </c>
      <c r="I46" s="16">
        <f>IF('Сроки и стоимость'!$F$43&gt;'Атлант, Великан'!H46,'Атлант, Великан'!B46+0.1*('Сроки и стоимость'!$D$33-1)^2,0)</f>
        <v/>
      </c>
      <c r="J46" s="16">
        <f>SUM(I37:I46)</f>
        <v/>
      </c>
    </row>
    <row r="48" ht="15.75" customHeight="1" thickBot="1"/>
    <row r="49">
      <c r="A49" s="26" t="inlineStr">
        <is>
          <t>кран опорный в одном пролете Великан, Аталант, Атлант-М -</t>
        </is>
      </c>
      <c r="B49" s="19" t="n">
        <v>0.9</v>
      </c>
      <c r="C49" s="19" t="n"/>
      <c r="D49" s="20" t="n"/>
      <c r="E49" s="16">
        <f>$F$1*B49</f>
        <v/>
      </c>
      <c r="F49" s="16">
        <f>E49+$E$1</f>
        <v/>
      </c>
      <c r="Y49" s="16" t="inlineStr">
        <is>
          <t>за разные консоли под покрановые балки, разные сечения колонн</t>
        </is>
      </c>
    </row>
    <row r="50">
      <c r="A50" s="37" t="inlineStr">
        <is>
          <t>за каждый пролет с краном Великан, Аталант, Атлант-М -</t>
        </is>
      </c>
      <c r="B50" s="16" t="n">
        <v>0.6</v>
      </c>
      <c r="D50" s="22" t="n"/>
      <c r="E50" s="16">
        <f>$F$1*B50</f>
        <v/>
      </c>
      <c r="F50" s="16">
        <f>E50+$E$1</f>
        <v/>
      </c>
    </row>
    <row r="51">
      <c r="A51" s="37" t="inlineStr">
        <is>
          <t>за каждый пролет с другой грузоподъемностью Великан, Аталант, Атлант-М -</t>
        </is>
      </c>
      <c r="B51" s="16" t="n">
        <v>0.2</v>
      </c>
      <c r="D51" s="22" t="n"/>
      <c r="E51" s="16">
        <f>$F$1*B51</f>
        <v/>
      </c>
      <c r="F51" s="16">
        <f>E51+$E$1</f>
        <v/>
      </c>
    </row>
    <row r="52">
      <c r="A52" s="38" t="inlineStr">
        <is>
          <t>кран подвесной в одном пролете Великан, Аталант -</t>
        </is>
      </c>
      <c r="B52" s="16" t="n">
        <v>0.7</v>
      </c>
      <c r="D52" s="22" t="n"/>
      <c r="E52" s="16">
        <f>$F$1*B52</f>
        <v/>
      </c>
      <c r="F52" s="16">
        <f>E52+$E$1</f>
        <v/>
      </c>
    </row>
    <row r="53">
      <c r="A53" s="38" t="inlineStr">
        <is>
          <t>за каждый пролет с краном Великан, Аталант -</t>
        </is>
      </c>
      <c r="B53" s="16" t="n">
        <v>0.5</v>
      </c>
      <c r="D53" s="22" t="n"/>
      <c r="E53" s="16">
        <f>$F$1*B53</f>
        <v/>
      </c>
      <c r="F53" s="16">
        <f>E53+$E$1</f>
        <v/>
      </c>
    </row>
    <row r="54" ht="15.75" customHeight="1" thickBot="1">
      <c r="A54" s="27" t="inlineStr">
        <is>
          <t>за каждый пролет с другой грузоподъемностью Великан, Аталант -</t>
        </is>
      </c>
      <c r="B54" s="28" t="n">
        <v>0.2</v>
      </c>
      <c r="C54" s="28" t="n"/>
      <c r="D54" s="25" t="n"/>
      <c r="E54" s="16">
        <f>$F$1*B54</f>
        <v/>
      </c>
      <c r="F54" s="16">
        <f>E54+$E$1</f>
        <v/>
      </c>
    </row>
    <row r="55" ht="15.75" customHeight="1" thickBot="1"/>
    <row r="56" ht="15.75" customHeight="1" thickBot="1">
      <c r="A56" s="29" t="inlineStr">
        <is>
          <t xml:space="preserve">великан многопролетный односкатный каркас КМ - </t>
        </is>
      </c>
      <c r="B56" s="12" t="n">
        <v>2</v>
      </c>
      <c r="C56" s="12" t="n">
        <v>0.6</v>
      </c>
      <c r="D56" s="39" t="inlineStr">
        <is>
          <t>за каждый пролет после 1-го (за колонны) больше вероятность нового сечения колонны</t>
        </is>
      </c>
      <c r="E56" s="153">
        <f>G56*B56</f>
        <v/>
      </c>
      <c r="F56" s="153">
        <f>G56*C56</f>
        <v/>
      </c>
      <c r="G56" s="16" t="n">
        <v>80</v>
      </c>
      <c r="Y56" s="16" t="inlineStr">
        <is>
          <t>за колонны и гор. связи</t>
        </is>
      </c>
    </row>
    <row r="57" ht="15.75" customHeight="1" thickBot="1"/>
    <row r="58" ht="15.75" customHeight="1" thickBot="1">
      <c r="A58" s="29" t="inlineStr">
        <is>
          <t xml:space="preserve">атлант многопролетный односкатный каркас КМ - </t>
        </is>
      </c>
      <c r="B58" s="12" t="n">
        <v>1.8</v>
      </c>
      <c r="C58" s="12" t="n">
        <v>0.6</v>
      </c>
      <c r="D58" s="39" t="inlineStr">
        <is>
          <t>за каждый пролет после 1-го (за колонны) больше вероятность нового сечения колонны</t>
        </is>
      </c>
      <c r="E58" s="153">
        <f>G58*B58</f>
        <v/>
      </c>
      <c r="F58" s="153">
        <f>G58*C58</f>
        <v/>
      </c>
      <c r="G58" s="16" t="n">
        <v>80</v>
      </c>
      <c r="Y58" s="16" t="inlineStr">
        <is>
          <t>за колонны и гор. связи</t>
        </is>
      </c>
    </row>
    <row r="59" ht="15.75" customHeight="1" thickBot="1"/>
    <row r="60" ht="15.75" customHeight="1" thickBot="1">
      <c r="A60" s="29" t="inlineStr">
        <is>
          <t xml:space="preserve">атлант-М многопролетный односкатный каркас КМ - </t>
        </is>
      </c>
      <c r="B60" s="12" t="n">
        <v>1.9</v>
      </c>
      <c r="C60" s="12" t="n">
        <v>0.55</v>
      </c>
      <c r="D60" s="39" t="inlineStr">
        <is>
          <t>за каждый пролет после 1-го (за колонны) больше вероятность нового сечения колонны</t>
        </is>
      </c>
      <c r="E60" s="153">
        <f>G60*B60</f>
        <v/>
      </c>
      <c r="F60" s="153">
        <f>G60*C60</f>
        <v/>
      </c>
      <c r="G60" s="16" t="n">
        <v>80</v>
      </c>
      <c r="Y60" s="16" t="inlineStr">
        <is>
          <t>за колонны и гор. связи</t>
        </is>
      </c>
    </row>
    <row r="61" ht="15.75" customHeight="1" thickBot="1"/>
    <row r="62">
      <c r="A62" s="18" t="inlineStr">
        <is>
          <t>высота до 4 вкл -</t>
        </is>
      </c>
      <c r="B62" s="19" t="n">
        <v>0</v>
      </c>
      <c r="C62" s="19" t="n"/>
      <c r="D62" s="20" t="n"/>
      <c r="E62" s="16">
        <f>$F$1*B62</f>
        <v/>
      </c>
      <c r="F62" s="16">
        <f>E62+$E$1</f>
        <v/>
      </c>
      <c r="H62" s="16" t="n">
        <v>4</v>
      </c>
      <c r="I62" s="16">
        <f>IF('Сроки и стоимость'!$F$43&lt;='Атлант, Великан'!H62,'Атлант, Великан'!B62,0)</f>
        <v/>
      </c>
    </row>
    <row r="63">
      <c r="A63" s="21" t="inlineStr">
        <is>
          <t>за каждый пролет -</t>
        </is>
      </c>
      <c r="B63" s="31" t="n">
        <v>0</v>
      </c>
      <c r="C63" s="31" t="n"/>
      <c r="D63" s="22" t="inlineStr">
        <is>
          <t xml:space="preserve"> -0,15+0,15*(n-1)², где n - кол-во пролетов</t>
        </is>
      </c>
      <c r="H63" s="16" t="n">
        <v>4</v>
      </c>
      <c r="I63" s="16">
        <f>IF('Сроки и стоимость'!$F$43&lt;='Атлант, Великан'!H63,'Атлант, Великан'!B63-0.15+0.15*('Сроки и стоимость'!$D$33-1)^2,0)</f>
        <v/>
      </c>
    </row>
    <row r="64">
      <c r="A64" s="32" t="inlineStr">
        <is>
          <t xml:space="preserve">высота от 4 до 6 вкл - </t>
        </is>
      </c>
      <c r="B64" s="16" t="n">
        <v>0.25</v>
      </c>
      <c r="D64" s="22" t="n"/>
      <c r="E64" s="16">
        <f>$F$1*B64</f>
        <v/>
      </c>
      <c r="F64" s="16">
        <f>E64+$E$1</f>
        <v/>
      </c>
      <c r="H64" s="16" t="n">
        <v>6</v>
      </c>
      <c r="I64" s="16">
        <f>IF(AND('Сроки и стоимость'!$F$43&gt;'Атлант, Великан'!H62,'Сроки и стоимость'!$F$43&lt;='Атлант, Великан'!H64),'Атлант, Великан'!B64,0)</f>
        <v/>
      </c>
      <c r="Y64" s="16" t="inlineStr">
        <is>
          <t>за доп вертикальные связи по продольной стороне</t>
        </is>
      </c>
    </row>
    <row r="65">
      <c r="A65" s="32" t="inlineStr">
        <is>
          <t>за каждый пролет -</t>
        </is>
      </c>
      <c r="B65" s="31" t="n">
        <v>0.15</v>
      </c>
      <c r="C65" s="31" t="n"/>
      <c r="D65" s="40" t="inlineStr">
        <is>
          <t xml:space="preserve"> +0,15*(n-1)², где n - кол-во пролетов</t>
        </is>
      </c>
      <c r="E65" s="16">
        <f>$F$1*B65</f>
        <v/>
      </c>
      <c r="F65" s="16">
        <f>E65+$E$1</f>
        <v/>
      </c>
      <c r="H65" s="16" t="n">
        <v>6</v>
      </c>
      <c r="I65" s="16">
        <f>IF(AND('Сроки и стоимость'!$F$43&gt;'Атлант, Великан'!H63,'Сроки и стоимость'!$F$43&lt;='Атлант, Великан'!H65),'Атлант, Великан'!B65+0.15*('Сроки и стоимость'!$D$33-1)^2,0)</f>
        <v/>
      </c>
      <c r="Y65" s="16" t="inlineStr">
        <is>
          <t>за доп вертикальные связи по продольной стороне</t>
        </is>
      </c>
    </row>
    <row r="66">
      <c r="A66" s="33" t="inlineStr">
        <is>
          <t xml:space="preserve">высота от 6 до 8 вкл - </t>
        </is>
      </c>
      <c r="B66" s="16" t="n">
        <v>0.5</v>
      </c>
      <c r="D66" s="22" t="n"/>
      <c r="E66" s="16">
        <f>$F$1*B66</f>
        <v/>
      </c>
      <c r="F66" s="16">
        <f>E66+$E$1</f>
        <v/>
      </c>
      <c r="H66" s="16" t="n">
        <v>8</v>
      </c>
      <c r="I66" s="16">
        <f>IF(AND('Сроки и стоимость'!$F$43&gt;'Атлант, Великан'!H64,'Сроки и стоимость'!$F$43&lt;='Атлант, Великан'!H66),'Атлант, Великан'!B66,0)</f>
        <v/>
      </c>
      <c r="Y66" s="16" t="inlineStr">
        <is>
          <t>за доп вертикальные связи по продольной стороне + распорки</t>
        </is>
      </c>
    </row>
    <row r="67">
      <c r="A67" s="33" t="inlineStr">
        <is>
          <t>за каждый пролет -</t>
        </is>
      </c>
      <c r="B67" s="31" t="n">
        <v>0.15</v>
      </c>
      <c r="C67" s="31" t="n"/>
      <c r="D67" s="22" t="inlineStr">
        <is>
          <t xml:space="preserve"> +0,15*(n-1)², где n - кол-во пролетов</t>
        </is>
      </c>
      <c r="E67" s="16">
        <f>$F$1*B67</f>
        <v/>
      </c>
      <c r="F67" s="16">
        <f>E67+$E$1</f>
        <v/>
      </c>
      <c r="H67" s="16" t="n">
        <v>8</v>
      </c>
      <c r="I67" s="16">
        <f>IF(AND('Сроки и стоимость'!$F$43&gt;'Атлант, Великан'!H65,'Сроки и стоимость'!$F$43&lt;='Атлант, Великан'!H67),'Атлант, Великан'!B67+0.15*('Сроки и стоимость'!$D$33-1)^2,0)</f>
        <v/>
      </c>
      <c r="Y67" s="16" t="inlineStr">
        <is>
          <t>за доп вертикальные связи по продольной стороне + распорки</t>
        </is>
      </c>
    </row>
    <row r="68">
      <c r="A68" s="34" t="inlineStr">
        <is>
          <t xml:space="preserve">высота от 8 до 10 вкл - </t>
        </is>
      </c>
      <c r="B68" s="16" t="n">
        <v>1</v>
      </c>
      <c r="D68" s="22" t="n"/>
      <c r="E68" s="16">
        <f>$F$1*B68</f>
        <v/>
      </c>
      <c r="F68" s="16">
        <f>E68+$E$1</f>
        <v/>
      </c>
      <c r="H68" s="16" t="n">
        <v>10</v>
      </c>
      <c r="I68" s="16">
        <f>IF(AND('Сроки и стоимость'!$F$43&gt;'Атлант, Великан'!H66,'Сроки и стоимость'!$F$43&lt;='Атлант, Великан'!H68),'Атлант, Великан'!B68,0)</f>
        <v/>
      </c>
      <c r="Y68" s="16" t="inlineStr">
        <is>
          <t>за доп вертикальные связи по продольной стороне и торце + распорки</t>
        </is>
      </c>
    </row>
    <row r="69">
      <c r="A69" s="34" t="inlineStr">
        <is>
          <t>за каждый пролет -</t>
        </is>
      </c>
      <c r="B69" s="31" t="n">
        <v>0.3</v>
      </c>
      <c r="C69" s="31" t="n"/>
      <c r="D69" s="22" t="inlineStr">
        <is>
          <t xml:space="preserve"> +0,15*(n-1)², где n - кол-во пролетов</t>
        </is>
      </c>
      <c r="E69" s="16">
        <f>$F$1*B69</f>
        <v/>
      </c>
      <c r="F69" s="16">
        <f>E69+$E$1</f>
        <v/>
      </c>
      <c r="H69" s="16" t="n">
        <v>10</v>
      </c>
      <c r="I69" s="16">
        <f>IF(AND('Сроки и стоимость'!$F$43&gt;'Атлант, Великан'!H67,'Сроки и стоимость'!$F$43&lt;='Атлант, Великан'!H69),'Атлант, Великан'!B69+0.15*('Сроки и стоимость'!$D$33-1)^2,0)</f>
        <v/>
      </c>
      <c r="Y69" s="16" t="inlineStr">
        <is>
          <t>за доп вертикальные связи по продольной стороне и торце + распорки</t>
        </is>
      </c>
    </row>
    <row r="70">
      <c r="A70" s="35" t="inlineStr">
        <is>
          <t xml:space="preserve">высота от 10 - </t>
        </is>
      </c>
      <c r="B70" s="31" t="n">
        <v>0.45</v>
      </c>
      <c r="C70" s="31" t="n"/>
      <c r="D70" s="22" t="inlineStr">
        <is>
          <t>за каждые 3 метра</t>
        </is>
      </c>
      <c r="E70" s="16">
        <f>$F$1*B70</f>
        <v/>
      </c>
      <c r="F70" s="16">
        <f>E70+$E$1</f>
        <v/>
      </c>
      <c r="G70" s="16" t="n">
        <v>3</v>
      </c>
      <c r="H70" s="16" t="n">
        <v>10</v>
      </c>
      <c r="I70" s="16">
        <f>IF('Сроки и стоимость'!$F$43&gt;'Атлант, Великан'!H70,'Атлант, Великан'!B70*_xlfn.CEILING.MATH(('Сроки и стоимость'!$F$43-'Атлант, Великан'!H70)/'Атлант, Великан'!G70),0)</f>
        <v/>
      </c>
      <c r="Y70" s="16" t="inlineStr">
        <is>
          <t>за доп вертикальные связи + распорки</t>
        </is>
      </c>
    </row>
    <row r="71" ht="15.75" customHeight="1" thickBot="1">
      <c r="A71" s="36" t="inlineStr">
        <is>
          <t>за каждый пролет -</t>
        </is>
      </c>
      <c r="B71" s="24" t="n">
        <v>0.45</v>
      </c>
      <c r="C71" s="24" t="n"/>
      <c r="D71" s="25" t="inlineStr">
        <is>
          <t xml:space="preserve"> +0,15*(n-1)², где n - кол-во пролетов</t>
        </is>
      </c>
      <c r="E71" s="16">
        <f>$F$1*B71</f>
        <v/>
      </c>
      <c r="F71" s="16">
        <f>E71+$E$1</f>
        <v/>
      </c>
      <c r="H71" s="16" t="n">
        <v>10</v>
      </c>
      <c r="I71" s="16">
        <f>IF('Сроки и стоимость'!$F$43&gt;'Атлант, Великан'!H71,'Атлант, Великан'!B71+0.15*('Сроки и стоимость'!$D$33-1)^2,0)</f>
        <v/>
      </c>
      <c r="J71" s="16">
        <f>SUM(I62:I71)</f>
        <v/>
      </c>
    </row>
    <row r="72" ht="15.75" customHeight="1" thickBot="1"/>
    <row r="73">
      <c r="A73" s="26" t="inlineStr">
        <is>
          <t>кран опорный в одном пролете Великан, Аталант, Атлант-М -</t>
        </is>
      </c>
      <c r="B73" s="19" t="n">
        <v>0.9</v>
      </c>
      <c r="C73" s="19" t="n"/>
      <c r="D73" s="20" t="n"/>
      <c r="E73" s="16">
        <f>$F$1*B73</f>
        <v/>
      </c>
      <c r="F73" s="16">
        <f>E73+$E$1</f>
        <v/>
      </c>
      <c r="Y73" s="16" t="inlineStr">
        <is>
          <t>за разные консоли под покрановые балки, разные сечения колонн</t>
        </is>
      </c>
    </row>
    <row r="74">
      <c r="A74" s="37" t="inlineStr">
        <is>
          <t>за каждый пролет с краном Великан, Аталант, Атлант-М -</t>
        </is>
      </c>
      <c r="B74" s="16" t="n">
        <v>0.6</v>
      </c>
      <c r="D74" s="22" t="n"/>
      <c r="E74" s="16">
        <f>$F$1*B74</f>
        <v/>
      </c>
      <c r="F74" s="16">
        <f>E74+$E$1</f>
        <v/>
      </c>
    </row>
    <row r="75">
      <c r="A75" s="37" t="inlineStr">
        <is>
          <t>за каждый пролет с другой грузоподъемностью Великан, Аталант, Атлант-М -</t>
        </is>
      </c>
      <c r="B75" s="16" t="n">
        <v>0.2</v>
      </c>
      <c r="D75" s="22" t="n"/>
      <c r="E75" s="16">
        <f>$F$1*B75</f>
        <v/>
      </c>
      <c r="F75" s="16">
        <f>E75+$E$1</f>
        <v/>
      </c>
    </row>
    <row r="76">
      <c r="A76" s="38" t="inlineStr">
        <is>
          <t>кран подвесной в одном пролете Великан, Аталант -</t>
        </is>
      </c>
      <c r="B76" s="16" t="n">
        <v>0.7</v>
      </c>
      <c r="D76" s="22" t="n"/>
      <c r="E76" s="16">
        <f>$F$1*B76</f>
        <v/>
      </c>
      <c r="F76" s="16">
        <f>E76+$E$1</f>
        <v/>
      </c>
    </row>
    <row r="77">
      <c r="A77" s="38" t="inlineStr">
        <is>
          <t>за каждый пролет с краном Великан, Аталант -</t>
        </is>
      </c>
      <c r="B77" s="16" t="n">
        <v>0.5</v>
      </c>
      <c r="D77" s="22" t="n"/>
      <c r="E77" s="16">
        <f>$F$1*B77</f>
        <v/>
      </c>
      <c r="F77" s="16">
        <f>E77+$E$1</f>
        <v/>
      </c>
    </row>
    <row r="78" ht="15.75" customHeight="1" thickBot="1">
      <c r="A78" s="27" t="inlineStr">
        <is>
          <t>за каждый пролет с другой грузоподъемностью Великан, Аталант -</t>
        </is>
      </c>
      <c r="B78" s="28" t="n">
        <v>0.2</v>
      </c>
      <c r="C78" s="28" t="n"/>
      <c r="D78" s="25" t="n"/>
      <c r="E78" s="16">
        <f>$F$1*B78</f>
        <v/>
      </c>
      <c r="F78" s="16">
        <f>E78+$E$1</f>
        <v/>
      </c>
    </row>
    <row r="79" ht="15.75" customHeight="1" thickBot="1"/>
    <row r="80" ht="15.75" customHeight="1" thickBot="1">
      <c r="A80" s="29" t="inlineStr">
        <is>
          <t xml:space="preserve">великан многопролетный с плоской кровлей каркас КМ - </t>
        </is>
      </c>
      <c r="B80" s="12" t="n">
        <v>1.8</v>
      </c>
      <c r="C80" s="12" t="n">
        <v>0.3</v>
      </c>
      <c r="D80" s="30" t="inlineStr">
        <is>
          <t>за каждый пролет после 1-го (за колонны)</t>
        </is>
      </c>
      <c r="E80" s="153">
        <f>G80*B80</f>
        <v/>
      </c>
      <c r="F80" s="153">
        <f>G80*C80</f>
        <v/>
      </c>
      <c r="G80" s="16" t="n">
        <v>80</v>
      </c>
      <c r="Y80" s="16" t="inlineStr">
        <is>
          <t>за колонны</t>
        </is>
      </c>
    </row>
    <row r="81" ht="15.75" customHeight="1" thickBot="1"/>
    <row r="82" ht="15.75" customHeight="1" thickBot="1">
      <c r="A82" s="29" t="inlineStr">
        <is>
          <t xml:space="preserve">атлант многопролетный с плоской кровлей каркас КМ - </t>
        </is>
      </c>
      <c r="B82" s="12" t="n">
        <v>1.6</v>
      </c>
      <c r="C82" s="12" t="n">
        <v>0.3</v>
      </c>
      <c r="D82" s="30" t="inlineStr">
        <is>
          <t>за каждый пролет после 1-го (за колонны)</t>
        </is>
      </c>
      <c r="E82" s="153">
        <f>G82*B82</f>
        <v/>
      </c>
      <c r="F82" s="153">
        <f>G82*C82</f>
        <v/>
      </c>
      <c r="G82" s="16" t="n">
        <v>80</v>
      </c>
      <c r="Y82" s="16" t="inlineStr">
        <is>
          <t>за колонны</t>
        </is>
      </c>
    </row>
    <row r="83" ht="15.75" customHeight="1" thickBot="1"/>
    <row r="84" ht="15.75" customHeight="1" thickBot="1">
      <c r="A84" s="29" t="inlineStr">
        <is>
          <t xml:space="preserve">атлант-М многопролетный с плоской кровлей каркас КМ - </t>
        </is>
      </c>
      <c r="B84" s="12" t="n">
        <v>1.7</v>
      </c>
      <c r="C84" s="12" t="n">
        <v>0.25</v>
      </c>
      <c r="D84" s="30" t="inlineStr">
        <is>
          <t>за каждый пролет после 1-го (за колонны)</t>
        </is>
      </c>
      <c r="E84" s="153">
        <f>G84*B84</f>
        <v/>
      </c>
      <c r="F84" s="153">
        <f>G84*C84</f>
        <v/>
      </c>
      <c r="G84" s="16" t="n">
        <v>80</v>
      </c>
      <c r="Y84" s="16" t="inlineStr">
        <is>
          <t>за колонны</t>
        </is>
      </c>
    </row>
    <row r="85" ht="15.75" customHeight="1" thickBot="1"/>
    <row r="86">
      <c r="A86" s="18" t="inlineStr">
        <is>
          <t>высота до 6 вкл -</t>
        </is>
      </c>
      <c r="B86" s="19" t="n">
        <v>0</v>
      </c>
      <c r="C86" s="19" t="n"/>
      <c r="D86" s="20" t="n"/>
      <c r="E86" s="16">
        <f>$F$1*B86</f>
        <v/>
      </c>
      <c r="F86" s="16">
        <f>E86+$E$1</f>
        <v/>
      </c>
      <c r="H86" s="16" t="n">
        <v>6</v>
      </c>
      <c r="I86" s="16">
        <f>IF('Сроки и стоимость'!$F$43&lt;='Атлант, Великан'!H86,'Атлант, Великан'!B86,0)</f>
        <v/>
      </c>
    </row>
    <row r="87">
      <c r="A87" s="21" t="inlineStr">
        <is>
          <t>за каждый пролет -</t>
        </is>
      </c>
      <c r="B87" s="16" t="n">
        <v>0</v>
      </c>
      <c r="D87" s="22" t="inlineStr">
        <is>
          <t xml:space="preserve"> -0,075+0,075*(n-1)², где n - кол-во пролетов</t>
        </is>
      </c>
      <c r="E87" s="16">
        <f>$F$1*B87</f>
        <v/>
      </c>
      <c r="F87" s="16">
        <f>E87+$E$1</f>
        <v/>
      </c>
      <c r="H87" s="16" t="n">
        <v>6</v>
      </c>
      <c r="I87" s="16">
        <f>IF('Сроки и стоимость'!$F$43&lt;='Атлант, Великан'!H87,'Атлант, Великан'!B87-0.1+0.1*('Сроки и стоимость'!$D$33-1)^2,0)</f>
        <v/>
      </c>
    </row>
    <row r="88">
      <c r="A88" s="32" t="inlineStr">
        <is>
          <t xml:space="preserve">высота от 6 до 7 вкл - </t>
        </is>
      </c>
      <c r="B88" s="16" t="n">
        <v>0.25</v>
      </c>
      <c r="D88" s="22" t="n"/>
      <c r="E88" s="16">
        <f>$F$1*B88</f>
        <v/>
      </c>
      <c r="F88" s="16">
        <f>E88+$E$1</f>
        <v/>
      </c>
      <c r="H88" s="16" t="n">
        <v>7</v>
      </c>
      <c r="I88" s="16">
        <f>IF(AND('Сроки и стоимость'!$F$43&gt;'Атлант, Великан'!H86,'Сроки и стоимость'!$F$43&lt;='Атлант, Великан'!H88),'Атлант, Великан'!B88,0)</f>
        <v/>
      </c>
      <c r="Y88" s="16" t="inlineStr">
        <is>
          <t>за доп вертикальные связи по продольной стороне</t>
        </is>
      </c>
    </row>
    <row r="89">
      <c r="A89" s="32" t="inlineStr">
        <is>
          <t>за каждый пролет -</t>
        </is>
      </c>
      <c r="B89" s="31" t="n">
        <v>0.15</v>
      </c>
      <c r="C89" s="31" t="n"/>
      <c r="D89" s="22" t="inlineStr">
        <is>
          <t xml:space="preserve"> +0,075*(n-1)², где n - кол-во пролетов</t>
        </is>
      </c>
      <c r="E89" s="16">
        <f>$F$1*B89</f>
        <v/>
      </c>
      <c r="F89" s="16">
        <f>E89+$E$1</f>
        <v/>
      </c>
      <c r="H89" s="16" t="n">
        <v>7</v>
      </c>
      <c r="I89" s="16">
        <f>IF(AND('Сроки и стоимость'!$F$43&gt;'Атлант, Великан'!H87,'Сроки и стоимость'!$F$43&lt;='Атлант, Великан'!H89),'Атлант, Великан'!B89+0.1*('Сроки и стоимость'!$D$33-1)^2,0)</f>
        <v/>
      </c>
      <c r="Y89" s="16" t="inlineStr">
        <is>
          <t>за доп вертикальные связи по продольной стороне</t>
        </is>
      </c>
    </row>
    <row r="90">
      <c r="A90" s="33" t="inlineStr">
        <is>
          <t xml:space="preserve">высота от 7 до 9 вкл - </t>
        </is>
      </c>
      <c r="B90" s="16" t="n">
        <v>0.5</v>
      </c>
      <c r="D90" s="22" t="n"/>
      <c r="E90" s="16">
        <f>$F$1*B90</f>
        <v/>
      </c>
      <c r="F90" s="16">
        <f>E90+$E$1</f>
        <v/>
      </c>
      <c r="H90" s="16" t="n">
        <v>9</v>
      </c>
      <c r="I90" s="16">
        <f>IF(AND('Сроки и стоимость'!$F$43&gt;'Атлант, Великан'!H88,'Сроки и стоимость'!$F$43&lt;='Атлант, Великан'!H90),'Атлант, Великан'!B90,0)</f>
        <v/>
      </c>
      <c r="Y90" s="16" t="inlineStr">
        <is>
          <t>за доп вертикальные связи по продольной стороне + распорки</t>
        </is>
      </c>
    </row>
    <row r="91">
      <c r="A91" s="33" t="inlineStr">
        <is>
          <t>за каждый пролет -</t>
        </is>
      </c>
      <c r="B91" s="31" t="n">
        <v>0.3</v>
      </c>
      <c r="C91" s="31" t="n"/>
      <c r="D91" s="22" t="inlineStr">
        <is>
          <t xml:space="preserve"> +0,075*(n-1)², где n - кол-во пролетов</t>
        </is>
      </c>
      <c r="E91" s="16">
        <f>$F$1*B91</f>
        <v/>
      </c>
      <c r="F91" s="16">
        <f>E91+$E$1</f>
        <v/>
      </c>
      <c r="H91" s="16" t="n">
        <v>9</v>
      </c>
      <c r="I91" s="16">
        <f>IF(AND('Сроки и стоимость'!$F$43&gt;'Атлант, Великан'!H89,'Сроки и стоимость'!$F$43&lt;='Атлант, Великан'!H91),'Атлант, Великан'!B91+0.1*('Сроки и стоимость'!$D$33-1)^2,0)</f>
        <v/>
      </c>
      <c r="Y91" s="16" t="inlineStr">
        <is>
          <t>за доп вертикальные связи по продольной стороне + распорки</t>
        </is>
      </c>
    </row>
    <row r="92">
      <c r="A92" s="34" t="inlineStr">
        <is>
          <t xml:space="preserve">высота от 9 до 12 вкл - </t>
        </is>
      </c>
      <c r="B92" s="16" t="n">
        <v>1</v>
      </c>
      <c r="D92" s="22" t="n"/>
      <c r="E92" s="16">
        <f>$F$1*B92</f>
        <v/>
      </c>
      <c r="F92" s="16">
        <f>E92+$E$1</f>
        <v/>
      </c>
      <c r="H92" s="16" t="n">
        <v>12</v>
      </c>
      <c r="I92" s="16">
        <f>IF(AND('Сроки и стоимость'!$F$43&gt;'Атлант, Великан'!H90,'Сроки и стоимость'!$F$43&lt;='Атлант, Великан'!H92),'Атлант, Великан'!B92,0)</f>
        <v/>
      </c>
      <c r="Y92" s="16" t="inlineStr">
        <is>
          <t>за доп вертикальные связи по продольной стороне и торце + распорки</t>
        </is>
      </c>
    </row>
    <row r="93">
      <c r="A93" s="34" t="inlineStr">
        <is>
          <t>за каждый пролет -</t>
        </is>
      </c>
      <c r="B93" s="31" t="n">
        <v>0.45</v>
      </c>
      <c r="C93" s="31" t="n"/>
      <c r="D93" s="22" t="inlineStr">
        <is>
          <t xml:space="preserve"> +0,075*(n-1)², где n - кол-во пролетов</t>
        </is>
      </c>
      <c r="E93" s="16">
        <f>$F$1*B93</f>
        <v/>
      </c>
      <c r="F93" s="16">
        <f>E93+$E$1</f>
        <v/>
      </c>
      <c r="H93" s="16" t="n">
        <v>12</v>
      </c>
      <c r="I93" s="16">
        <f>IF(AND('Сроки и стоимость'!$F$43&gt;'Атлант, Великан'!H91,'Сроки и стоимость'!$F$43&lt;='Атлант, Великан'!H93),'Атлант, Великан'!B93+0.1*('Сроки и стоимость'!$D$33-1)^2,0)</f>
        <v/>
      </c>
      <c r="Y93" s="16" t="inlineStr">
        <is>
          <t>за доп вертикальные связи по продольной стороне и торце + распорки</t>
        </is>
      </c>
    </row>
    <row r="94">
      <c r="A94" s="35" t="inlineStr">
        <is>
          <t xml:space="preserve">высота от 12 - </t>
        </is>
      </c>
      <c r="B94" s="31" t="n">
        <v>0.75</v>
      </c>
      <c r="C94" s="31" t="n"/>
      <c r="D94" s="22" t="inlineStr">
        <is>
          <t>за каждые 3 метра</t>
        </is>
      </c>
      <c r="E94" s="16">
        <f>$F$1*B94</f>
        <v/>
      </c>
      <c r="F94" s="16">
        <f>E94+$E$1</f>
        <v/>
      </c>
      <c r="G94" s="16" t="n">
        <v>3</v>
      </c>
      <c r="H94" s="16" t="n">
        <v>12</v>
      </c>
      <c r="I94" s="16">
        <f>IF('Сроки и стоимость'!$F$43&gt;'Атлант, Великан'!H94,'Атлант, Великан'!B94*_xlfn.CEILING.MATH(('Сроки и стоимость'!$F$43-'Атлант, Великан'!H94)/'Атлант, Великан'!G94),0)</f>
        <v/>
      </c>
      <c r="J94" s="16">
        <f>I94+I92+I90+I88+I86</f>
        <v/>
      </c>
      <c r="Y94" s="16" t="inlineStr">
        <is>
          <t>за доп вертикальные связи + распорки</t>
        </is>
      </c>
    </row>
    <row r="95" ht="15.75" customHeight="1" thickBot="1">
      <c r="A95" s="36" t="inlineStr">
        <is>
          <t>за каждый пролет -</t>
        </is>
      </c>
      <c r="B95" s="24" t="n">
        <v>0.45</v>
      </c>
      <c r="C95" s="24" t="n"/>
      <c r="D95" s="25" t="inlineStr">
        <is>
          <t xml:space="preserve"> +0,075*(n-1)², где n - кол-во пролетов</t>
        </is>
      </c>
      <c r="E95" s="16">
        <f>$F$1*B95</f>
        <v/>
      </c>
      <c r="F95" s="16">
        <f>E95+$E$1</f>
        <v/>
      </c>
      <c r="H95" s="16" t="n">
        <v>12</v>
      </c>
      <c r="I95" s="16">
        <f>IF('Сроки и стоимость'!$F$43&gt;'Атлант, Великан'!H95,'Атлант, Великан'!B95+0.1*('Сроки и стоимость'!$D$33-1)^2,0)</f>
        <v/>
      </c>
      <c r="J95" s="16">
        <f>SUM(I86:I95)</f>
        <v/>
      </c>
    </row>
    <row r="96" ht="15.75" customHeight="1" thickBot="1"/>
    <row r="97">
      <c r="A97" s="26" t="inlineStr">
        <is>
          <t>кран опорный в одном пролете Великан, Аталант, Атлант-М -</t>
        </is>
      </c>
      <c r="B97" s="19" t="n">
        <v>0.75</v>
      </c>
      <c r="C97" s="19" t="n"/>
      <c r="D97" s="20" t="n"/>
      <c r="E97" s="16">
        <f>$F$1*B97</f>
        <v/>
      </c>
      <c r="F97" s="16">
        <f>E97+$E$1</f>
        <v/>
      </c>
      <c r="Y97" s="16" t="inlineStr">
        <is>
          <t>за разные консоли под покрановые балки, разные сечения колонн</t>
        </is>
      </c>
    </row>
    <row r="98">
      <c r="A98" s="37" t="inlineStr">
        <is>
          <t>за каждый пролет с краном Великан, Аталант, Атлант-М -</t>
        </is>
      </c>
      <c r="B98" s="16" t="n">
        <v>0.6</v>
      </c>
      <c r="D98" s="22" t="n"/>
      <c r="E98" s="16">
        <f>$F$1*B98</f>
        <v/>
      </c>
      <c r="F98" s="16">
        <f>E98+$E$1</f>
        <v/>
      </c>
    </row>
    <row r="99">
      <c r="A99" s="37" t="inlineStr">
        <is>
          <t>за каждый пролет с другой грузоподъемностью Великан, Аталант, Атлант-М -</t>
        </is>
      </c>
      <c r="B99" s="16" t="n">
        <v>0.2</v>
      </c>
      <c r="D99" s="22" t="n"/>
      <c r="E99" s="16">
        <f>$F$1*B99</f>
        <v/>
      </c>
      <c r="F99" s="16">
        <f>E99+$E$1</f>
        <v/>
      </c>
    </row>
    <row r="100">
      <c r="A100" s="38" t="inlineStr">
        <is>
          <t>кран подвесной в одном пролете Великан, Аталант -</t>
        </is>
      </c>
      <c r="B100" s="16" t="n">
        <v>0.6</v>
      </c>
      <c r="D100" s="22" t="n"/>
      <c r="E100" s="16">
        <f>$F$1*B100</f>
        <v/>
      </c>
      <c r="F100" s="16">
        <f>E100+$E$1</f>
        <v/>
      </c>
    </row>
    <row r="101">
      <c r="A101" s="38" t="inlineStr">
        <is>
          <t>за каждый пролет с краном Великан, Аталант -</t>
        </is>
      </c>
      <c r="B101" s="16" t="n">
        <v>0.5</v>
      </c>
      <c r="D101" s="22" t="n"/>
      <c r="E101" s="16">
        <f>$F$1*B101</f>
        <v/>
      </c>
      <c r="F101" s="16">
        <f>E101+$E$1</f>
        <v/>
      </c>
    </row>
    <row r="102" ht="15.75" customHeight="1" thickBot="1">
      <c r="A102" s="27" t="inlineStr">
        <is>
          <t>за каждый пролет с другой грузоподъемностью Великан, Аталант -</t>
        </is>
      </c>
      <c r="B102" s="28" t="n">
        <v>0.2</v>
      </c>
      <c r="C102" s="28" t="n"/>
      <c r="D102" s="25" t="n"/>
      <c r="E102" s="16">
        <f>$F$1*B102</f>
        <v/>
      </c>
      <c r="F102" s="16">
        <f>E102+$E$1</f>
        <v/>
      </c>
    </row>
    <row r="103" ht="15.75" customHeight="1" thickBot="1"/>
    <row r="104" ht="15.75" customHeight="1" thickBot="1">
      <c r="A104" s="29" t="inlineStr">
        <is>
          <t xml:space="preserve">великан многопролетный с многоскатной кровлей каркас КМ - </t>
        </is>
      </c>
      <c r="B104" s="12" t="n">
        <v>1.8</v>
      </c>
      <c r="C104" s="12" t="n">
        <v>0.4</v>
      </c>
      <c r="D104" s="30" t="inlineStr">
        <is>
          <t>за каждый пролет после 1-го (за колонны)</t>
        </is>
      </c>
      <c r="E104" s="153">
        <f>G104*B104</f>
        <v/>
      </c>
      <c r="F104" s="153">
        <f>G104*C104</f>
        <v/>
      </c>
      <c r="G104" s="16" t="n">
        <v>80</v>
      </c>
      <c r="Y104" s="16" t="inlineStr">
        <is>
          <t>за колонны и гор. связи</t>
        </is>
      </c>
    </row>
    <row r="105" ht="15.75" customHeight="1" thickBot="1"/>
    <row r="106" ht="15.75" customHeight="1" thickBot="1">
      <c r="A106" s="29" t="inlineStr">
        <is>
          <t xml:space="preserve">атлант многопролетный с многоскатной кровлей каркас КМ - </t>
        </is>
      </c>
      <c r="B106" s="12" t="n">
        <v>1.6</v>
      </c>
      <c r="C106" s="12" t="n">
        <v>0.4</v>
      </c>
      <c r="D106" s="30" t="inlineStr">
        <is>
          <t>за каждый пролет после 1-го (за колонны)</t>
        </is>
      </c>
      <c r="E106" s="153">
        <f>G106*B106</f>
        <v/>
      </c>
      <c r="F106" s="153">
        <f>G106*C106</f>
        <v/>
      </c>
      <c r="G106" s="16" t="n">
        <v>80</v>
      </c>
      <c r="Y106" s="16" t="inlineStr">
        <is>
          <t>за колонны и гор. связи</t>
        </is>
      </c>
    </row>
    <row r="107" ht="15.75" customHeight="1" thickBot="1"/>
    <row r="108" ht="15.75" customHeight="1" thickBot="1">
      <c r="A108" s="29" t="inlineStr">
        <is>
          <t xml:space="preserve">атлант-М многопролетный с многоскатной кровлей каркас КМ - </t>
        </is>
      </c>
      <c r="B108" s="12" t="n">
        <v>1.7</v>
      </c>
      <c r="C108" s="12" t="n">
        <v>0.35</v>
      </c>
      <c r="D108" s="30" t="inlineStr">
        <is>
          <t>за каждый пролет после 1-го (за колонны)</t>
        </is>
      </c>
      <c r="E108" s="153">
        <f>G108*B108</f>
        <v/>
      </c>
      <c r="F108" s="153">
        <f>G108*C108</f>
        <v/>
      </c>
      <c r="G108" s="16" t="n">
        <v>80</v>
      </c>
      <c r="Y108" s="16" t="inlineStr">
        <is>
          <t>за колонны и гор. связи</t>
        </is>
      </c>
    </row>
    <row r="109" ht="15.75" customHeight="1" thickBot="1"/>
    <row r="110">
      <c r="A110" s="18" t="inlineStr">
        <is>
          <t>высота до 6 вкл -</t>
        </is>
      </c>
      <c r="B110" s="19" t="n">
        <v>0</v>
      </c>
      <c r="C110" s="19" t="n"/>
      <c r="D110" s="20" t="n"/>
      <c r="E110" s="16">
        <f>$F$1*B110</f>
        <v/>
      </c>
      <c r="F110" s="16">
        <f>E110+$E$1</f>
        <v/>
      </c>
      <c r="H110" s="16" t="n">
        <v>6</v>
      </c>
      <c r="I110" s="16">
        <f>IF('Сроки и стоимость'!$F$43&lt;='Атлант, Великан'!H110,'Атлант, Великан'!B110,0)</f>
        <v/>
      </c>
    </row>
    <row r="111">
      <c r="A111" s="21" t="inlineStr">
        <is>
          <t>за каждый пролет -</t>
        </is>
      </c>
      <c r="B111" s="16" t="n">
        <v>0</v>
      </c>
      <c r="D111" s="22" t="inlineStr">
        <is>
          <t xml:space="preserve"> -0,1+0,1*(n-1)², где n - кол-во пролетов</t>
        </is>
      </c>
      <c r="E111" s="16">
        <f>$F$1*B111</f>
        <v/>
      </c>
      <c r="F111" s="16">
        <f>E111+$E$1</f>
        <v/>
      </c>
      <c r="H111" s="16" t="n">
        <v>6</v>
      </c>
      <c r="I111" s="16">
        <f>IF('Сроки и стоимость'!$F$43&lt;='Атлант, Великан'!H111,'Атлант, Великан'!B111-0.1+0.1*('Сроки и стоимость'!$D$33-1)^2,0)</f>
        <v/>
      </c>
    </row>
    <row r="112">
      <c r="A112" s="32" t="inlineStr">
        <is>
          <t xml:space="preserve">высота от 6 до 7 вкл - </t>
        </is>
      </c>
      <c r="B112" s="16" t="n">
        <v>0.25</v>
      </c>
      <c r="D112" s="22" t="n"/>
      <c r="E112" s="16">
        <f>$F$1*B112</f>
        <v/>
      </c>
      <c r="F112" s="16">
        <f>E112+$E$1</f>
        <v/>
      </c>
      <c r="H112" s="16" t="n">
        <v>7</v>
      </c>
      <c r="I112" s="16">
        <f>IF(AND('Сроки и стоимость'!$F$43&gt;'Атлант, Великан'!H110,'Сроки и стоимость'!$F$43&lt;='Атлант, Великан'!H112),'Атлант, Великан'!B112,0)</f>
        <v/>
      </c>
      <c r="Y112" s="16" t="inlineStr">
        <is>
          <t>за доп вертикальные связи по продольной стороне</t>
        </is>
      </c>
    </row>
    <row r="113">
      <c r="A113" s="32" t="inlineStr">
        <is>
          <t>за каждый пролет -</t>
        </is>
      </c>
      <c r="B113" s="31" t="n">
        <v>0.15</v>
      </c>
      <c r="C113" s="31" t="n"/>
      <c r="D113" s="22" t="inlineStr">
        <is>
          <t xml:space="preserve"> +0,1*(n-1)², где n - кол-во пролетов</t>
        </is>
      </c>
      <c r="E113" s="16">
        <f>$F$1*B113</f>
        <v/>
      </c>
      <c r="F113" s="16">
        <f>E113+$E$1</f>
        <v/>
      </c>
      <c r="H113" s="16" t="n">
        <v>7</v>
      </c>
      <c r="I113" s="16">
        <f>IF(AND('Сроки и стоимость'!$F$43&gt;'Атлант, Великан'!H111,'Сроки и стоимость'!$F$43&lt;='Атлант, Великан'!H113),'Атлант, Великан'!B113+0.1*('Сроки и стоимость'!$D$33-1)^2,0)</f>
        <v/>
      </c>
      <c r="Y113" s="16" t="inlineStr">
        <is>
          <t>за доп вертикальные связи по продольной стороне</t>
        </is>
      </c>
    </row>
    <row r="114">
      <c r="A114" s="33" t="inlineStr">
        <is>
          <t xml:space="preserve">высота от 7 до 9 вкл - </t>
        </is>
      </c>
      <c r="B114" s="16" t="n">
        <v>0.5</v>
      </c>
      <c r="D114" s="22" t="n"/>
      <c r="E114" s="16">
        <f>$F$1*B114</f>
        <v/>
      </c>
      <c r="F114" s="16">
        <f>E114+$E$1</f>
        <v/>
      </c>
      <c r="H114" s="16" t="n">
        <v>9</v>
      </c>
      <c r="I114" s="16">
        <f>IF(AND('Сроки и стоимость'!$F$43&gt;'Атлант, Великан'!H112,'Сроки и стоимость'!$F$43&lt;='Атлант, Великан'!H114),'Атлант, Великан'!B114,0)</f>
        <v/>
      </c>
      <c r="Y114" s="16" t="inlineStr">
        <is>
          <t>за доп вертикальные связи по продольной стороне + распорки</t>
        </is>
      </c>
    </row>
    <row r="115">
      <c r="A115" s="33" t="inlineStr">
        <is>
          <t>за каждый пролет -</t>
        </is>
      </c>
      <c r="B115" s="31" t="n">
        <v>0.3</v>
      </c>
      <c r="C115" s="31" t="n"/>
      <c r="D115" s="22" t="inlineStr">
        <is>
          <t xml:space="preserve"> +0,1*(n-1)², где n - кол-во пролетов</t>
        </is>
      </c>
      <c r="E115" s="16">
        <f>$F$1*B115</f>
        <v/>
      </c>
      <c r="F115" s="16">
        <f>E115+$E$1</f>
        <v/>
      </c>
      <c r="H115" s="16" t="n">
        <v>9</v>
      </c>
      <c r="I115" s="16">
        <f>IF(AND('Сроки и стоимость'!$F$43&gt;'Атлант, Великан'!H113,'Сроки и стоимость'!$F$43&lt;='Атлант, Великан'!H115),'Атлант, Великан'!B115+0.1*('Сроки и стоимость'!$D$33-1)^2,0)</f>
        <v/>
      </c>
      <c r="Y115" s="16" t="inlineStr">
        <is>
          <t>за доп вертикальные связи по продольной стороне + распорки</t>
        </is>
      </c>
    </row>
    <row r="116">
      <c r="A116" s="34" t="inlineStr">
        <is>
          <t xml:space="preserve">высота от 9 до 12 вкл - </t>
        </is>
      </c>
      <c r="B116" s="16" t="n">
        <v>1</v>
      </c>
      <c r="D116" s="22" t="n"/>
      <c r="E116" s="16">
        <f>$F$1*B116</f>
        <v/>
      </c>
      <c r="F116" s="16">
        <f>E116+$E$1</f>
        <v/>
      </c>
      <c r="H116" s="16" t="n">
        <v>12</v>
      </c>
      <c r="I116" s="16">
        <f>IF(AND('Сроки и стоимость'!$F$43&gt;'Атлант, Великан'!H114,'Сроки и стоимость'!$F$43&lt;='Атлант, Великан'!H116),'Атлант, Великан'!B116,0)</f>
        <v/>
      </c>
      <c r="P116" s="16" t="inlineStr">
        <is>
          <t>Разные пролеты</t>
        </is>
      </c>
      <c r="Y116" s="16" t="inlineStr">
        <is>
          <t>за доп вертикальные связи по продольной стороне и торце + распорки</t>
        </is>
      </c>
    </row>
    <row r="117">
      <c r="A117" s="34" t="inlineStr">
        <is>
          <t>за каждый пролет -</t>
        </is>
      </c>
      <c r="B117" s="31" t="n">
        <v>0.45</v>
      </c>
      <c r="C117" s="31" t="n"/>
      <c r="D117" s="22" t="inlineStr">
        <is>
          <t xml:space="preserve"> +0,1*(n-1)², где n - кол-во пролетов</t>
        </is>
      </c>
      <c r="E117" s="16">
        <f>$F$1*B117</f>
        <v/>
      </c>
      <c r="F117" s="16">
        <f>E117+$E$1</f>
        <v/>
      </c>
      <c r="H117" s="16" t="n">
        <v>12</v>
      </c>
      <c r="I117" s="16">
        <f>IF(AND('Сроки и стоимость'!$F$43&gt;'Атлант, Великан'!H115,'Сроки и стоимость'!$F$43&lt;='Атлант, Великан'!H117),'Атлант, Великан'!B117+0.1*('Сроки и стоимость'!$D$33-1)^2,0)</f>
        <v/>
      </c>
      <c r="P117" s="16" t="n">
        <v>1</v>
      </c>
      <c r="Q117" s="16" t="n">
        <v>2</v>
      </c>
      <c r="R117" s="16" t="n">
        <v>3</v>
      </c>
      <c r="S117" s="16" t="n">
        <v>4</v>
      </c>
      <c r="T117" s="16" t="n">
        <v>5</v>
      </c>
      <c r="Y117" s="16" t="inlineStr">
        <is>
          <t>за доп вертикальные связи по продольной стороне и торце + распорки</t>
        </is>
      </c>
    </row>
    <row r="118">
      <c r="A118" s="35" t="inlineStr">
        <is>
          <t xml:space="preserve">высота от 12 - </t>
        </is>
      </c>
      <c r="B118" s="31" t="n">
        <v>0.75</v>
      </c>
      <c r="C118" s="31" t="n"/>
      <c r="D118" s="22" t="inlineStr">
        <is>
          <t>за каждые 3 метра</t>
        </is>
      </c>
      <c r="E118" s="16">
        <f>$F$1*B118</f>
        <v/>
      </c>
      <c r="F118" s="16">
        <f>E118+$E$1</f>
        <v/>
      </c>
      <c r="G118" s="16" t="n">
        <v>3</v>
      </c>
      <c r="H118" s="16" t="n">
        <v>12</v>
      </c>
      <c r="I118" s="16">
        <f>IF('Сроки и стоимость'!$F$43&gt;'Атлант, Великан'!H118,'Атлант, Великан'!B118*_xlfn.CEILING.MATH(('Сроки и стоимость'!$F$43-'Атлант, Великан'!H118)/'Атлант, Великан'!G118),0)</f>
        <v/>
      </c>
      <c r="J118" s="16">
        <f>I118+I116+I114+I112+I110</f>
        <v/>
      </c>
      <c r="P118" s="16">
        <f>H127</f>
        <v/>
      </c>
      <c r="Q118" s="16">
        <f>I127</f>
        <v/>
      </c>
      <c r="R118" s="16">
        <f>J127</f>
        <v/>
      </c>
      <c r="S118" s="16">
        <f>K127</f>
        <v/>
      </c>
      <c r="T118" s="16">
        <f>L127</f>
        <v/>
      </c>
      <c r="Y118" s="16" t="inlineStr">
        <is>
          <t>за доп вертикальные связи + распорки</t>
        </is>
      </c>
    </row>
    <row r="119" ht="15.75" customHeight="1" thickBot="1">
      <c r="A119" s="36" t="inlineStr">
        <is>
          <t>за каждый пролет -</t>
        </is>
      </c>
      <c r="B119" s="24" t="n">
        <v>0.45</v>
      </c>
      <c r="C119" s="24" t="n"/>
      <c r="D119" s="25" t="inlineStr">
        <is>
          <t xml:space="preserve"> +0,1*(n-1)², где n - кол-во пролетов</t>
        </is>
      </c>
      <c r="E119" s="16">
        <f>$F$1*B119</f>
        <v/>
      </c>
      <c r="F119" s="16">
        <f>E119+$E$1</f>
        <v/>
      </c>
      <c r="H119" s="16" t="n">
        <v>12</v>
      </c>
      <c r="I119" s="16">
        <f>IF('Сроки и стоимость'!$F$43&gt;'Атлант, Великан'!H119,'Атлант, Великан'!B119+0.1*('Сроки и стоимость'!$D$33-1)^2,0)</f>
        <v/>
      </c>
      <c r="J119" s="16">
        <f>SUM(I110:I119)</f>
        <v/>
      </c>
      <c r="O119" s="16" t="n">
        <v>1</v>
      </c>
      <c r="P119" s="16">
        <f>IF(AND($O119='Сроки и стоимость'!$D$33,P$117&lt;='Сроки и стоимость'!$D$33),1,0)</f>
        <v/>
      </c>
      <c r="Q119" s="16">
        <f>IF(AND($O119='Сроки и стоимость'!$D$33,Q$117&lt;='Сроки и стоимость'!$D$33),CHOOSE('Сроки и стоимость'!$AM$11,1,IF(MOD($O119,2)=1,1,IF(AND(Q$118=P$118,Q$117='Сроки и стоимость'!$D$33),0,1)),IF(Q$117='Сроки и стоимость'!$D$33,IF(Q$118=P$118,0,1),1),IF(Q$117='Сроки и стоимость'!$D$33,IF(Q$118=P$118,0,1),1)),0)</f>
        <v/>
      </c>
      <c r="R119" s="16">
        <f>IF(AND($O119='Сроки и стоимость'!$D$33,R$117&lt;='Сроки и стоимость'!$D$33),CHOOSE('Сроки и стоимость'!$AM$11,IF('Атлант, Великан'!R$117&lt;'Атлант, Великан'!$O119,IF(R$118=Q$118,0,1),1),IF(R$117='Сроки и стоимость'!$D$33,IF(R$118=P$118,0,1),IF(MOD($O119,2)=1,1,IF(R$118=Q$118,0,1))),IF(R$117='Сроки и стоимость'!$D$33,IF(R$118=P$118,0,1),IF(R$118=Q$118,0,1)),IF(R$117='Сроки и стоимость'!$D$33,IF(R$118=P$118,0,1),IF(R$118=Q$118,0,1))),0)</f>
        <v/>
      </c>
      <c r="S119" s="16">
        <f>IF(AND($O119='Сроки и стоимость'!$D$33,S$117&lt;='Сроки и стоимость'!$D$33),CHOOSE('Сроки и стоимость'!$AM$11,IF('Атлант, Великан'!S$117&lt;'Атлант, Великан'!$O119,IF(OR(R$118=S$118,S$118=Q$118),0,1),1),IF(MOD($O119,2)=1,IF(S$118=Q$118,0,1),IF(S$117='Сроки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/>
      </c>
      <c r="T119" s="16">
        <f>IF(AND($O119='Сроки и стоимость'!$D$33,T$117&lt;='Сроки и стоимость'!$D$33),CHOOSE('Сроки и стоимость'!$AM$11,1,IF(MOD($O119,2)=1,IF(T$118=P$118,0,1),0),IF(P$118=T$118,0,1),IF(T$118=P$118,0,1)),0)</f>
        <v/>
      </c>
    </row>
    <row r="120" ht="15.75" customHeight="1" thickBot="1">
      <c r="O120" s="16" t="n">
        <v>2</v>
      </c>
      <c r="P120" s="16">
        <f>IF(AND($O120='Сроки и стоимость'!$D$33,P$117&lt;='Сроки и стоимость'!$D$33),1,0)</f>
        <v/>
      </c>
      <c r="Q120" s="16">
        <f>IF(AND($O120='Сроки и стоимость'!$D$33,Q$117&lt;='Сроки и стоимость'!$D$33),CHOOSE('Сроки и стоимость'!$AM$11,1,IF(MOD($O120,2)=1,1,IF(AND(Q$118=P$118,Q$117='Сроки и стоимость'!$D$33),0,1)),IF(Q$117='Сроки и стоимость'!$D$33,IF(Q$118=P$118,0,1),1),IF(Q$117='Сроки и стоимость'!$D$33,IF(Q$118=P$118,0,1),1)),0)</f>
        <v/>
      </c>
      <c r="R120" s="16">
        <f>IF(AND($O120='Сроки и стоимость'!$D$33,R$117&lt;='Сроки и стоимость'!$D$33),CHOOSE('Сроки и стоимость'!$AM$11,IF('Атлант, Великан'!R$117&lt;'Атлант, Великан'!$O120,IF(R$118=Q$118,0,1),1),IF(R$117='Сроки и стоимость'!$D$33,IF(R$118=P$118,0,1),IF(MOD($O120,2)=1,1,IF(R$118=Q$118,0,1))),IF(R$117='Сроки и стоимость'!$D$33,IF(R$118=P$118,0,1),IF(R$118=Q$118,0,1)),IF(R$117='Сроки и стоимость'!$D$33,IF(R$118=P$118,0,1),IF(R$118=Q$118,0,1))),0)</f>
        <v/>
      </c>
      <c r="S120" s="16">
        <f>IF(AND($O120='Сроки и стоимость'!$D$33,S$117&lt;='Сроки и стоимость'!$D$33),CHOOSE('Сроки и стоимость'!$AM$11,IF('Атлант, Великан'!S$117&lt;'Атлант, Великан'!$O120,IF(OR(R$118=S$118,S$118=Q$118),0,1),1),IF(MOD($O120,2)=1,IF(S$118=Q$118,0,1),IF(S$117='Сроки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/>
      </c>
      <c r="T120" s="16">
        <f>IF(AND($O120='Сроки и стоимость'!$D$33,T$117&lt;='Сроки и стоимость'!$D$33),CHOOSE('Сроки и стоимость'!$AM$11,1,IF(MOD($O120,2)=1,IF(T$118=P$118,0,1),0),IF(P$118=T$118,0,1),IF(T$118=P$118,0,1)),0)</f>
        <v/>
      </c>
    </row>
    <row r="121">
      <c r="A121" s="26" t="inlineStr">
        <is>
          <t>кран опорный в одном пролете Великан, Аталант, Атлант-М -</t>
        </is>
      </c>
      <c r="B121" s="19" t="n">
        <v>0.75</v>
      </c>
      <c r="C121" s="19" t="n"/>
      <c r="D121" s="20" t="n"/>
      <c r="E121" s="16">
        <f>$F$1*B121</f>
        <v/>
      </c>
      <c r="F121" s="16">
        <f>E121+$E$1</f>
        <v/>
      </c>
      <c r="O121" s="16" t="n">
        <v>3</v>
      </c>
      <c r="P121" s="16">
        <f>IF(AND($O121='Сроки и стоимость'!$D$33,P$117&lt;='Сроки и стоимость'!$D$33),1,0)</f>
        <v/>
      </c>
      <c r="Q121" s="16">
        <f>IF(AND($O121='Сроки и стоимость'!$D$33,Q$117&lt;='Сроки и стоимость'!$D$33),CHOOSE('Сроки и стоимость'!$AM$11,1,IF(MOD($O121,2)=1,1,IF(AND(Q$118=P$118,Q$117='Сроки и стоимость'!$D$33),0,1)),IF(Q$117='Сроки и стоимость'!$D$33,IF(Q$118=P$118,0,1),1),IF(Q$117='Сроки и стоимость'!$D$33,IF(Q$118=P$118,0,1),1)),0)</f>
        <v/>
      </c>
      <c r="R121" s="16">
        <f>IF(AND($O121='Сроки и стоимость'!$D$33,R$117&lt;='Сроки и стоимость'!$D$33),CHOOSE('Сроки и стоимость'!$AM$11,IF('Атлант, Великан'!R$117&lt;'Атлант, Великан'!$O121,IF(R$118=Q$118,0,1),1),IF(R$117='Сроки и стоимость'!$D$33,IF(R$118=P$118,0,1),IF(MOD($O121,2)=1,1,IF(R$118=Q$118,0,1))),IF(R$117='Сроки и стоимость'!$D$33,IF(R$118=P$118,0,1),IF(R$118=Q$118,0,1)),IF(R$117='Сроки и стоимость'!$D$33,IF(R$118=P$118,0,1),IF(R$118=Q$118,0,1))),0)</f>
        <v/>
      </c>
      <c r="S121" s="16">
        <f>IF(AND($O121='Сроки и стоимость'!$D$33,S$117&lt;='Сроки и стоимость'!$D$33),CHOOSE('Сроки и стоимость'!$AM$11,IF('Атлант, Великан'!S$117&lt;'Атлант, Великан'!$O121,IF(OR(R$118=S$118,S$118=Q$118),0,1),1),IF(MOD($O121,2)=1,IF(S$118=Q$118,0,1),IF(S$117='Сроки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/>
      </c>
      <c r="T121" s="16">
        <f>IF(AND($O121='Сроки и стоимость'!$D$33,T$117&lt;='Сроки и стоимость'!$D$33),CHOOSE('Сроки и стоимость'!$AM$11,1,IF(MOD($O121,2)=1,IF(T$118=P$118,0,1),0),IF(P$118=T$118,0,1),IF(T$118=P$118,0,1)),0)</f>
        <v/>
      </c>
      <c r="Y121" s="16" t="inlineStr">
        <is>
          <t>за разные консоли под покрановые балки, разные сечения колонн</t>
        </is>
      </c>
    </row>
    <row r="122">
      <c r="A122" s="37" t="inlineStr">
        <is>
          <t>за каждый пролет с краном Великан, Аталант, Атлант-М -</t>
        </is>
      </c>
      <c r="B122" s="16" t="n">
        <v>0.6</v>
      </c>
      <c r="D122" s="22" t="n"/>
      <c r="E122" s="16">
        <f>$F$1*B122</f>
        <v/>
      </c>
      <c r="F122" s="16">
        <f>E122+$E$1</f>
        <v/>
      </c>
      <c r="O122" s="16" t="n">
        <v>4</v>
      </c>
      <c r="P122" s="16">
        <f>IF(AND($O122='Сроки и стоимость'!$D$33,P$117&lt;='Сроки и стоимость'!$D$33),1,0)</f>
        <v/>
      </c>
      <c r="Q122" s="16">
        <f>IF(AND($O122='Сроки и стоимость'!$D$33,Q$117&lt;='Сроки и стоимость'!$D$33),CHOOSE('Сроки и стоимость'!$AM$11,1,IF(MOD($O122,2)=1,1,IF(AND(Q$118=P$118,Q$117='Сроки и стоимость'!$D$33),0,1)),IF(Q$117='Сроки и стоимость'!$D$33,IF(Q$118=P$118,0,1),1),IF(Q$117='Сроки и стоимость'!$D$33,IF(Q$118=P$118,0,1),1)),0)</f>
        <v/>
      </c>
      <c r="R122" s="16">
        <f>IF(AND($O122='Сроки и стоимость'!$D$33,R$117&lt;='Сроки и стоимость'!$D$33),CHOOSE('Сроки и стоимость'!$AM$11,IF('Атлант, Великан'!R$117&lt;'Атлант, Великан'!$O122,IF(R$118=Q$118,0,1),1),IF(R$117='Сроки и стоимость'!$D$33,IF(R$118=P$118,0,1),IF(MOD($O122,2)=1,1,IF(R$118=Q$118,0,1))),IF(R$117='Сроки и стоимость'!$D$33,IF(R$118=P$118,0,1),IF(R$118=Q$118,0,1)),IF(R$117='Сроки и стоимость'!$D$33,IF(R$118=P$118,0,1),IF(R$118=Q$118,0,1))),0)</f>
        <v/>
      </c>
      <c r="S122" s="16">
        <f>IF(AND($O122='Сроки и стоимость'!$D$33,S$117&lt;='Сроки и стоимость'!$D$33),CHOOSE('Сроки и стоимость'!$AM$11,IF('Атлант, Великан'!S$117&lt;'Атлант, Великан'!$O122,IF(OR(R$118=S$118,S$118=Q$118),0,1),1),IF(MOD($O122,2)=1,IF(S$118=Q$118,0,1),IF(S$117='Сроки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/>
      </c>
      <c r="T122" s="16">
        <f>IF(AND($O122='Сроки и стоимость'!$D$33,T$117&lt;='Сроки и стоимость'!$D$33),CHOOSE('Сроки и стоимость'!$AM$11,1,IF(MOD($O122,2)=1,IF(T$118=P$118,0,1),0),IF(P$118=T$118,0,1),IF(T$118=P$118,0,1)),0)</f>
        <v/>
      </c>
    </row>
    <row r="123">
      <c r="A123" s="37" t="inlineStr">
        <is>
          <t>за каждый пролет с другой грузоподъемностью Великан, Аталант, Атлант-М -</t>
        </is>
      </c>
      <c r="B123" s="16" t="n">
        <v>0.2</v>
      </c>
      <c r="D123" s="22" t="n"/>
      <c r="E123" s="16">
        <f>$F$1*B123</f>
        <v/>
      </c>
      <c r="F123" s="16">
        <f>E123+$E$1</f>
        <v/>
      </c>
      <c r="O123" s="16" t="n">
        <v>5</v>
      </c>
      <c r="P123" s="16">
        <f>IF(AND($O123='Сроки и стоимость'!$D$33,P$117&lt;='Сроки и стоимость'!$D$33),1,0)</f>
        <v/>
      </c>
      <c r="Q123" s="16">
        <f>IF(AND($O123='Сроки и стоимость'!$D$33,Q$117&lt;='Сроки и стоимость'!$D$33),CHOOSE('Сроки и стоимость'!$AM$11,1,IF(MOD($O123,2)=1,1,IF(AND(Q$118=P$118,Q$117='Сроки и стоимость'!$D$33),0,1)),IF(Q$117='Сроки и стоимость'!$D$33,IF(Q$118=P$118,0,1),1),IF(Q$117='Сроки и стоимость'!$D$33,IF(Q$118=P$118,0,1),1)),0)</f>
        <v/>
      </c>
      <c r="R123" s="16">
        <f>IF(AND($O123='Сроки и стоимость'!$D$33,R$117&lt;='Сроки и стоимость'!$D$33),CHOOSE('Сроки и стоимость'!$AM$11,IF('Атлант, Великан'!R$117&lt;'Атлант, Великан'!$O123,IF(R$118=Q$118,0,1),1),IF(R$117='Сроки и стоимость'!$D$33,IF(R$118=P$118,0,1),IF(MOD($O123,2)=1,1,IF(R$118=Q$118,0,1))),IF(R$117='Сроки и стоимость'!$D$33,IF(R$118=P$118,0,1),IF(R$118=Q$118,0,1)),IF(R$117='Сроки и стоимость'!$D$33,IF(R$118=P$118,0,1),IF(R$118=Q$118,0,1))),0)</f>
        <v/>
      </c>
      <c r="S123" s="16">
        <f>IF(AND($O123='Сроки и стоимость'!$D$33,S$117&lt;='Сроки и стоимость'!$D$33),CHOOSE('Сроки и стоимость'!$AM$11,IF('Атлант, Великан'!S$117&lt;'Атлант, Великан'!$O123,IF(OR(R$118=S$118,S$118=Q$118),0,1),1),IF(MOD($O123,2)=1,IF(S$118=Q$118,0,1),IF(S$117='Сроки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/>
      </c>
      <c r="T123" s="16">
        <f>IF(AND($O123='Сроки и стоимость'!$D$33,T$117&lt;='Сроки и стоимость'!$D$33),CHOOSE('Сроки и стоимость'!$AM$11,1,IF(MOD($O123,2)=1,IF(T$118=P$118,0,1),0),IF(P$118=T$118,0,1),IF(T$118=P$118,0,1)),0)</f>
        <v/>
      </c>
    </row>
    <row r="124">
      <c r="A124" s="38" t="inlineStr">
        <is>
          <t>кран подвесной в одном пролете Великан, Аталант -</t>
        </is>
      </c>
      <c r="B124" s="16" t="n">
        <v>0.6</v>
      </c>
      <c r="D124" s="22" t="n"/>
      <c r="E124" s="16">
        <f>$F$1*B124</f>
        <v/>
      </c>
      <c r="F124" s="16">
        <f>E124+$E$1</f>
        <v/>
      </c>
    </row>
    <row r="125">
      <c r="A125" s="38" t="inlineStr">
        <is>
          <t>за каждый пролет с краном Великан, Аталант -</t>
        </is>
      </c>
      <c r="B125" s="16" t="n">
        <v>0.5</v>
      </c>
      <c r="D125" s="22" t="n"/>
      <c r="E125" s="16">
        <f>$F$1*B125</f>
        <v/>
      </c>
      <c r="F125" s="16">
        <f>E125+$E$1</f>
        <v/>
      </c>
    </row>
    <row r="126" ht="15.75" customHeight="1" thickBot="1">
      <c r="A126" s="27" t="inlineStr">
        <is>
          <t>за каждый пролет с другой грузоподъемностью Великан, Аталант -</t>
        </is>
      </c>
      <c r="B126" s="28" t="n">
        <v>0.2</v>
      </c>
      <c r="C126" s="28" t="n"/>
      <c r="D126" s="25" t="n"/>
      <c r="E126" s="16">
        <f>$F$1*B126</f>
        <v/>
      </c>
      <c r="F126" s="16">
        <f>E126+$E$1</f>
        <v/>
      </c>
    </row>
    <row r="127" ht="15.75" customHeight="1" thickBot="1">
      <c r="G127" s="16" t="inlineStr">
        <is>
          <t>ширина</t>
        </is>
      </c>
      <c r="H127" s="16">
        <f>(SUM(H129:H133)+MIN(H134,1))*'Сроки и стоимость'!$B$35</f>
        <v/>
      </c>
      <c r="I127" s="16">
        <f>(SUM(I129:I133)+MIN(I134,1))*'Сроки и стоимость'!$D$35</f>
        <v/>
      </c>
      <c r="J127" s="16">
        <f>(SUM(J129:J133)+MIN(J134,1))*'Сроки и стоимость'!$F$35</f>
        <v/>
      </c>
      <c r="K127" s="16">
        <f>(SUM(K129:K133)+MIN(K134,1))*'Сроки и стоимость'!$H$35</f>
        <v/>
      </c>
      <c r="L127" s="16">
        <f>(SUM(L129:L133)+MIN(L134,1))*'Сроки и стоимость'!$J$35</f>
        <v/>
      </c>
      <c r="M127" s="41">
        <f>SUM(H127:L127)</f>
        <v/>
      </c>
    </row>
    <row r="128" ht="15.75" customHeight="1" thickBot="1">
      <c r="A128" s="42" t="inlineStr">
        <is>
          <t xml:space="preserve">великан </t>
        </is>
      </c>
      <c r="C128" s="16" t="inlineStr">
        <is>
          <t>нов. Пролет</t>
        </is>
      </c>
      <c r="G128" s="18" t="n"/>
      <c r="H128" s="19" t="n">
        <v>1</v>
      </c>
      <c r="I128" s="19" t="n">
        <v>2</v>
      </c>
      <c r="J128" s="19" t="n">
        <v>3</v>
      </c>
      <c r="K128" s="19" t="n">
        <v>4</v>
      </c>
      <c r="L128" s="19" t="n">
        <v>5</v>
      </c>
      <c r="M128" s="19" t="n"/>
      <c r="N128" s="20" t="n"/>
      <c r="P128" s="16" t="n">
        <v>1</v>
      </c>
      <c r="Q128" s="16" t="n">
        <v>2</v>
      </c>
      <c r="R128" s="16" t="n">
        <v>3</v>
      </c>
      <c r="S128" s="16" t="n">
        <v>4</v>
      </c>
      <c r="T128" s="16" t="n">
        <v>5</v>
      </c>
      <c r="U128" s="43" t="n"/>
      <c r="V128" s="44" t="n"/>
    </row>
    <row r="129">
      <c r="A129" s="18" t="inlineStr">
        <is>
          <t xml:space="preserve">пролет до 12 вкл - </t>
        </is>
      </c>
      <c r="B129" s="19" t="n">
        <v>0</v>
      </c>
      <c r="C129" s="45" t="n">
        <v>1.05</v>
      </c>
      <c r="D129" s="46" t="inlineStr">
        <is>
          <t>0+0,9=0,9 за ферму до 12 метров и распорки  + 0,15 гор связи</t>
        </is>
      </c>
      <c r="E129" s="16">
        <f>$F$1*B129</f>
        <v/>
      </c>
      <c r="F129" s="16">
        <f>E129+$E$1</f>
        <v/>
      </c>
      <c r="G129" s="21" t="n">
        <v>12</v>
      </c>
      <c r="H129" s="16">
        <f>IF(H$128&gt;'Сроки и стоимость'!$D$33,0,IF('Сроки и стоимость'!$B$35&lt;=$G129,1,0))</f>
        <v/>
      </c>
      <c r="I129" s="16">
        <f>IF($I$128&gt;'Сроки и стоимость'!$D$33,0,IF('Сроки и стоимость'!$D$35&lt;=G129,1,0))</f>
        <v/>
      </c>
      <c r="J129" s="16">
        <f>IF($J$128&gt;'Сроки и стоимость'!$D$33,0,IF('Сроки и стоимость'!$F$35&lt;=G129,1,0))</f>
        <v/>
      </c>
      <c r="K129" s="16">
        <f>IF($K$128&gt;'Сроки и стоимость'!$D$33,0,IF('Сроки и стоимость'!$H$35&lt;=G129,1,0))</f>
        <v/>
      </c>
      <c r="L129" s="16">
        <f>IF($L$128&gt;'Сроки и стоимость'!$D$33,0,IF('Сроки и стоимость'!$J$35&lt;=G129,1,0))</f>
        <v/>
      </c>
      <c r="M129" s="16">
        <f>SUM(H129:L129)</f>
        <v/>
      </c>
      <c r="N129" s="22">
        <f>M129*B129</f>
        <v/>
      </c>
      <c r="P129" s="32" t="n">
        <v>0</v>
      </c>
      <c r="Q129" s="47">
        <f>IF($I$128&gt;'Сроки и стоимость'!$D$33,0,IF('Сроки и стоимость'!$D$35&lt;=G129,SUM($Q$119:$Q$123),0))</f>
        <v/>
      </c>
      <c r="R129" s="47">
        <f>IF($J$128&gt;'Сроки и стоимость'!$D$33,0,IF('Сроки и стоимость'!$F$35&lt;=G129,SUM($R$119:$R$123),0))</f>
        <v/>
      </c>
      <c r="S129" s="47">
        <f>IF($K$128&gt;'Сроки и стоимость'!$D$33,0,IF('Сроки и стоимость'!$H$35&lt;=G129,SUM($S$119:$S$123),0))</f>
        <v/>
      </c>
      <c r="T129" s="47">
        <f>IF($L$128&gt;'Сроки и стоимость'!$D$33,0,IF('Сроки и стоимость'!$J$35&lt;=G129,SUM($T$119:$T$123),0))</f>
        <v/>
      </c>
      <c r="U129" s="47">
        <f>SUM(P129:T129)</f>
        <v/>
      </c>
      <c r="V129" s="48">
        <f>U129*C129</f>
        <v/>
      </c>
    </row>
    <row r="130">
      <c r="A130" s="21" t="inlineStr">
        <is>
          <t xml:space="preserve">пролет от 12 до 18 вкл - </t>
        </is>
      </c>
      <c r="B130" s="16" t="n">
        <v>0.5</v>
      </c>
      <c r="C130" s="17" t="n">
        <v>1.05</v>
      </c>
      <c r="D130" s="40" t="inlineStr">
        <is>
          <t>0,5+0,75=1,25 за 2 доп фермы до 18 метров и распорки + 0,3 гор связи</t>
        </is>
      </c>
      <c r="E130" s="16">
        <f>$F$1*B130</f>
        <v/>
      </c>
      <c r="F130" s="16">
        <f>E130+$E$1</f>
        <v/>
      </c>
      <c r="G130" s="21" t="n">
        <v>18</v>
      </c>
      <c r="H130" s="16">
        <f>IF($H$128&gt;'Сроки и стоимость'!$D$33,0,IF(AND('Сроки и стоимость'!$B$35&lt;=G130,'Сроки и стоимость'!$B$35&gt;G129),1,0))</f>
        <v/>
      </c>
      <c r="I130" s="16">
        <f>IF($I$128&gt;'Сроки и стоимость'!$D$33,0,IF(AND('Сроки и стоимость'!$D$35&lt;=G130,'Сроки и стоимость'!$D$35&gt;G129),1,0))</f>
        <v/>
      </c>
      <c r="J130" s="16">
        <f>IF($J$128&gt;'Сроки и стоимость'!$D$33,0,IF(AND('Сроки и стоимость'!$F$35&lt;=G130,'Сроки и стоимость'!$F$35&gt;G129),1,0))</f>
        <v/>
      </c>
      <c r="K130" s="16">
        <f>IF($K$128&gt;'Сроки и стоимость'!$D$33,0,IF(AND('Сроки и стоимость'!$H$35&lt;=G130,'Сроки и стоимость'!$H$35&gt;G129),1,0))</f>
        <v/>
      </c>
      <c r="L130" s="16">
        <f>IF($L$128&gt;'Сроки и стоимость'!$D$33,0,IF(AND('Сроки и стоимость'!$J$35&lt;=G130,'Сроки и стоимость'!$J$35&gt;G129),1,0))</f>
        <v/>
      </c>
      <c r="M130" s="16">
        <f>SUM(H130:L130)</f>
        <v/>
      </c>
      <c r="N130" s="22">
        <f>M130*B130</f>
        <v/>
      </c>
      <c r="P130" s="32" t="n">
        <v>0</v>
      </c>
      <c r="Q130" s="47">
        <f>IF($I$128&gt;'Сроки и стоимость'!$D$33,0,IF(AND('Сроки и стоимость'!$D$35&lt;=G130,'Сроки и стоимость'!$D$35&gt;G129),SUM($Q$119:$Q$123),0))</f>
        <v/>
      </c>
      <c r="R130" s="47">
        <f>IF($J$128&gt;'Сроки и стоимость'!$D$33,0,IF(AND('Сроки и стоимость'!$F$35&lt;=G130,'Сроки и стоимость'!$F$35&gt;G129),SUM($R$119:$R$123),0))</f>
        <v/>
      </c>
      <c r="S130" s="47">
        <f>IF($K$128&gt;'Сроки и стоимость'!$D$33,0,IF(AND('Сроки и стоимость'!$H$35&lt;=G130,'Сроки и стоимость'!$H$35&gt;G129),SUM($S$119:$S$123),0))</f>
        <v/>
      </c>
      <c r="T130" s="47">
        <f>IF($L$128&gt;'Сроки и стоимость'!$D$33,0,IF(AND('Сроки и стоимость'!$J$35&lt;=G130,'Сроки и стоимость'!$J$35&gt;G129),SUM($T$119:$T$123),0))</f>
        <v/>
      </c>
      <c r="U130" s="47">
        <f>SUM(P130:T130)</f>
        <v/>
      </c>
      <c r="V130" s="48">
        <f>U130*C130</f>
        <v/>
      </c>
      <c r="Y130" s="16" t="inlineStr">
        <is>
          <t>за доп связи, за доп ферму</t>
        </is>
      </c>
    </row>
    <row r="131">
      <c r="A131" s="21" t="inlineStr">
        <is>
          <t xml:space="preserve">пролет от 18 до 24 вкл - </t>
        </is>
      </c>
      <c r="B131" s="16" t="n">
        <v>1</v>
      </c>
      <c r="C131" s="17" t="n">
        <v>0.8</v>
      </c>
      <c r="D131" s="40" t="inlineStr">
        <is>
          <t>1+0,5=1,5 за 2 доп фермы до 24 метров и распорки + 0,3 гор связи</t>
        </is>
      </c>
      <c r="E131" s="16">
        <f>$F$1*B131</f>
        <v/>
      </c>
      <c r="F131" s="16">
        <f>E131+$E$1</f>
        <v/>
      </c>
      <c r="G131" s="21" t="n">
        <v>24</v>
      </c>
      <c r="H131" s="16">
        <f>IF($H$128&gt;'Сроки и стоимость'!$D$33,0,IF(AND('Сроки и стоимость'!$B$35&lt;=G131,'Сроки и стоимость'!$B$35&gt;G130),1,0))</f>
        <v/>
      </c>
      <c r="I131" s="16">
        <f>IF($I$128&gt;'Сроки и стоимость'!$D$33,0,IF(AND('Сроки и стоимость'!$D$35&lt;=G131,'Сроки и стоимость'!$D$35&gt;G130),1,0))</f>
        <v/>
      </c>
      <c r="J131" s="16">
        <f>IF($J$128&gt;'Сроки и стоимость'!$D$33,0,IF(AND('Сроки и стоимость'!$F$35&lt;=G131,'Сроки и стоимость'!$F$35&gt;G130),1,0))</f>
        <v/>
      </c>
      <c r="K131" s="16">
        <f>IF($K$128&gt;'Сроки и стоимость'!$D$33,0,IF(AND('Сроки и стоимость'!$H$35&lt;=G131,'Сроки и стоимость'!$H$35&gt;G130),1,0))</f>
        <v/>
      </c>
      <c r="L131" s="16">
        <f>IF($L$128&gt;'Сроки и стоимость'!$D$33,0,IF(AND('Сроки и стоимость'!$J$35&lt;=G131,'Сроки и стоимость'!$J$35&gt;G130),1,0))</f>
        <v/>
      </c>
      <c r="M131" s="16">
        <f>SUM(H131:L131)</f>
        <v/>
      </c>
      <c r="N131" s="22">
        <f>M131*B131</f>
        <v/>
      </c>
      <c r="P131" s="32" t="n">
        <v>0</v>
      </c>
      <c r="Q131" s="47">
        <f>IF($I$128&gt;'Сроки и стоимость'!$D$33,0,IF(AND('Сроки и стоимость'!$D$35&lt;=G131,'Сроки и стоимость'!$D$35&gt;G130),SUM($Q$119:$Q$123),0))</f>
        <v/>
      </c>
      <c r="R131" s="47">
        <f>IF($J$128&gt;'Сроки и стоимость'!$D$33,0,IF(AND('Сроки и стоимость'!$F$35&lt;=G131,'Сроки и стоимость'!$F$35&gt;G130),SUM($R$119:$R$123),0))</f>
        <v/>
      </c>
      <c r="S131" s="47">
        <f>IF($K$128&gt;'Сроки и стоимость'!$D$33,0,IF(AND('Сроки и стоимость'!$H$35&lt;=G131,'Сроки и стоимость'!$H$35&gt;G130),SUM($S$119:$S$123),0))</f>
        <v/>
      </c>
      <c r="T131" s="47">
        <f>IF($L$128&gt;'Сроки и стоимость'!$D$33,0,IF(AND('Сроки и стоимость'!$J$35&lt;=G131,'Сроки и стоимость'!$J$35&gt;G130),SUM($T$119:$T$123),0))</f>
        <v/>
      </c>
      <c r="U131" s="47">
        <f>SUM(P131:T131)</f>
        <v/>
      </c>
      <c r="V131" s="48">
        <f>U131*C131</f>
        <v/>
      </c>
      <c r="Y131" s="16" t="inlineStr">
        <is>
          <t>за доп связи, за доп усложненную ферму</t>
        </is>
      </c>
    </row>
    <row r="132">
      <c r="A132" s="21" t="inlineStr">
        <is>
          <t xml:space="preserve">пролет от 24 до 30 вкл - </t>
        </is>
      </c>
      <c r="B132" s="16" t="n">
        <v>1.75</v>
      </c>
      <c r="C132" s="17" t="n">
        <v>0.8</v>
      </c>
      <c r="D132" s="40" t="inlineStr">
        <is>
          <t>1,75+0,35=2,1 за 3 доп фермы до 30 метров и распорки + 0,45 гор связи</t>
        </is>
      </c>
      <c r="E132" s="16">
        <f>$F$1*B132</f>
        <v/>
      </c>
      <c r="F132" s="16">
        <f>E132+$E$1</f>
        <v/>
      </c>
      <c r="G132" s="21" t="n">
        <v>30</v>
      </c>
      <c r="H132" s="16">
        <f>IF($H$128&gt;'Сроки и стоимость'!$D$33,0,IF(AND('Сроки и стоимость'!$B$35&lt;=G132,'Сроки и стоимость'!$B$35&gt;G131),1,0))</f>
        <v/>
      </c>
      <c r="I132" s="16">
        <f>IF($I$128&gt;'Сроки и стоимость'!$D$33,0,IF(AND('Сроки и стоимость'!$D$35&lt;=G132,'Сроки и стоимость'!$D$35&gt;G131),1,0))</f>
        <v/>
      </c>
      <c r="J132" s="16">
        <f>IF($J$128&gt;'Сроки и стоимость'!$D$33,0,IF(AND('Сроки и стоимость'!$F$35&lt;=G132,'Сроки и стоимость'!$F$35&gt;G131),1,0))</f>
        <v/>
      </c>
      <c r="K132" s="16">
        <f>IF($K$128&gt;'Сроки и стоимость'!$D$33,0,IF(AND('Сроки и стоимость'!$H$35&lt;=G132,'Сроки и стоимость'!$H$35&gt;G131),1,0))</f>
        <v/>
      </c>
      <c r="L132" s="16">
        <f>IF($L$128&gt;'Сроки и стоимость'!$D$33,0,IF(AND('Сроки и стоимость'!$J$35&lt;=G132,'Сроки и стоимость'!$J$35&gt;G131),1,0))</f>
        <v/>
      </c>
      <c r="M132" s="16">
        <f>SUM(H132:L132)</f>
        <v/>
      </c>
      <c r="N132" s="22">
        <f>M132*B132</f>
        <v/>
      </c>
      <c r="P132" s="32" t="n">
        <v>0</v>
      </c>
      <c r="Q132" s="47">
        <f>IF($I$128&gt;'Сроки и стоимость'!$D$33,0,IF(AND('Сроки и стоимость'!$D$35&lt;=G132,'Сроки и стоимость'!$D$35&gt;G131),SUM($Q$119:$Q$123),0))</f>
        <v/>
      </c>
      <c r="R132" s="47">
        <f>IF($J$128&gt;'Сроки и стоимость'!$D$33,0,IF(AND('Сроки и стоимость'!$F$35&lt;=G132,'Сроки и стоимость'!$F$35&gt;G131),SUM($R$119:$R$123),0))</f>
        <v/>
      </c>
      <c r="S132" s="47">
        <f>IF($K$128&gt;'Сроки и стоимость'!$D$33,0,IF(AND('Сроки и стоимость'!$H$35&lt;=G132,'Сроки и стоимость'!$H$35&gt;G131),SUM($S$119:$S$123),0))</f>
        <v/>
      </c>
      <c r="T132" s="47">
        <f>IF($L$128&gt;'Сроки и стоимость'!$D$33,0,IF(AND('Сроки и стоимость'!$J$35&lt;=G132,'Сроки и стоимость'!$J$35&gt;G131),SUM($T$119:$T$123),0))</f>
        <v/>
      </c>
      <c r="U132" s="47">
        <f>SUM(P132:T132)</f>
        <v/>
      </c>
      <c r="V132" s="48">
        <f>U132*C132</f>
        <v/>
      </c>
      <c r="Y132" s="16" t="inlineStr">
        <is>
          <t>за доп связи, за доп ферму и усложненную ферму</t>
        </is>
      </c>
    </row>
    <row r="133">
      <c r="A133" s="21" t="inlineStr">
        <is>
          <t xml:space="preserve">пролет от 30 до 36 вкл - </t>
        </is>
      </c>
      <c r="B133" s="16" t="n">
        <v>3</v>
      </c>
      <c r="C133" s="17" t="n">
        <v>0.55</v>
      </c>
      <c r="D133" s="40" t="inlineStr">
        <is>
          <t>3,0+0,1=3,1 за 3 доп фермы до 36 метров и распорки + 0,45 гор связи</t>
        </is>
      </c>
      <c r="E133" s="16">
        <f>$F$1*B133</f>
        <v/>
      </c>
      <c r="F133" s="16">
        <f>E133+$E$1</f>
        <v/>
      </c>
      <c r="G133" s="21" t="n">
        <v>36</v>
      </c>
      <c r="H133" s="16">
        <f>IF($H$128&gt;'Сроки и стоимость'!$D$33,0,IF(AND('Сроки и стоимость'!$B$35&lt;=G133,'Сроки и стоимость'!$B$35&gt;G132),1,0))</f>
        <v/>
      </c>
      <c r="I133" s="16">
        <f>IF($I$128&gt;'Сроки и стоимость'!$D$33,0,IF(AND('Сроки и стоимость'!$D$35&lt;=G133,'Сроки и стоимость'!$D$35&gt;G132),1,0))</f>
        <v/>
      </c>
      <c r="J133" s="16">
        <f>IF($J$128&gt;'Сроки и стоимость'!$D$33,0,IF(AND('Сроки и стоимость'!$F$35&lt;=G133,'Сроки и стоимость'!$F$35&gt;G132),1,0))</f>
        <v/>
      </c>
      <c r="K133" s="16">
        <f>IF($K$128&gt;'Сроки и стоимость'!$D$33,0,IF(AND('Сроки и стоимость'!$H$35&lt;=G133,'Сроки и стоимость'!$H$35&gt;G132),1,0))</f>
        <v/>
      </c>
      <c r="L133" s="16">
        <f>IF($L$128&gt;'Сроки и стоимость'!$D$33,0,IF(AND('Сроки и стоимость'!$J$35&lt;=G133,'Сроки и стоимость'!$J$35&gt;G132),1,0))</f>
        <v/>
      </c>
      <c r="M133" s="16">
        <f>SUM(H133:L133)</f>
        <v/>
      </c>
      <c r="N133" s="22">
        <f>M133*B133</f>
        <v/>
      </c>
      <c r="P133" s="32" t="n">
        <v>0</v>
      </c>
      <c r="Q133" s="47">
        <f>IF($I$128&gt;'Сроки и стоимость'!$D$33,0,IF(AND('Сроки и стоимость'!$D$35&lt;=G133,'Сроки и стоимость'!$D$35&gt;G132),SUM($Q$119:$Q$123),0))</f>
        <v/>
      </c>
      <c r="R133" s="47">
        <f>IF($J$128&gt;'Сроки и стоимость'!$D$33,0,IF(AND('Сроки и стоимость'!$F$35&lt;=G133,'Сроки и стоимость'!$F$35&gt;G132),SUM($R$119:$R$123),0))</f>
        <v/>
      </c>
      <c r="S133" s="47">
        <f>IF($K$128&gt;'Сроки и стоимость'!$D$33,0,IF(AND('Сроки и стоимость'!$H$35&lt;=G133,'Сроки и стоимость'!$H$35&gt;G132),SUM($S$119:$S$123),0))</f>
        <v/>
      </c>
      <c r="T133" s="47">
        <f>IF($L$128&gt;'Сроки и стоимость'!$D$33,0,IF(AND('Сроки и стоимость'!$J$35&lt;=G133,'Сроки и стоимость'!$J$35&gt;G132),SUM($T$119:$T$123),0))</f>
        <v/>
      </c>
      <c r="U133" s="47">
        <f>SUM(P133:T133)</f>
        <v/>
      </c>
      <c r="V133" s="48">
        <f>U133*C133</f>
        <v/>
      </c>
      <c r="Y133" s="16" t="inlineStr">
        <is>
          <t>за доп связи, за доп ферму и усложненную ферму</t>
        </is>
      </c>
    </row>
    <row r="134" ht="15.75" customHeight="1" thickBot="1">
      <c r="A134" s="23" t="inlineStr">
        <is>
          <t xml:space="preserve">пролет от 36 - </t>
        </is>
      </c>
      <c r="B134" s="24" t="n">
        <v>1.5</v>
      </c>
      <c r="C134" s="49" t="n">
        <v>0.15</v>
      </c>
      <c r="D134" s="50" t="inlineStr">
        <is>
          <t>за каждые 6 метров</t>
        </is>
      </c>
      <c r="E134" s="16">
        <f>$F$1*B134</f>
        <v/>
      </c>
      <c r="F134" s="16">
        <f>E134+$E$1</f>
        <v/>
      </c>
      <c r="G134" s="23" t="n"/>
      <c r="H134" s="28">
        <f>IF($H$128&gt;'Сроки и стоимость'!$D$33,0,IF('Сроки и стоимость'!$B$35&gt;G133,_xlfn.CEILING.MATH(('Сроки и стоимость'!$B$35-'Атлант, Великан'!$G$133)/6),0))</f>
        <v/>
      </c>
      <c r="I134" s="28">
        <f>IF($I$128&gt;'Сроки и стоимость'!$D$33,0,IF('Сроки и стоимость'!$D$35&gt;G133,_xlfn.CEILING.MATH(('Сроки и стоимость'!$D$35-'Атлант, Великан'!$G$133)/6),0))</f>
        <v/>
      </c>
      <c r="J134" s="28">
        <f>IF($J$128&gt;'Сроки и стоимость'!$D$33,0,IF('Сроки и стоимость'!$F$35&gt;G133,_xlfn.CEILING.MATH(('Сроки и стоимость'!$F$35-'Атлант, Великан'!$G$133)/6),0))</f>
        <v/>
      </c>
      <c r="K134" s="28">
        <f>IF($K$128&gt;'Сроки и стоимость'!$D$33,0,IF('Сроки и стоимость'!$H$35&gt;G133,_xlfn.CEILING.MATH(('Сроки и стоимость'!$H$35-'Атлант, Великан'!$G$133)/6),0))</f>
        <v/>
      </c>
      <c r="L134" s="28">
        <f>IF($L$128&gt;'Сроки и стоимость'!$D$33,0,IF('Сроки и стоимость'!$J$35&gt;G133,_xlfn.CEILING.MATH(('Сроки и стоимость'!$J$35-'Атлант, Великан'!$G$133)/6),0))</f>
        <v/>
      </c>
      <c r="M134" s="28">
        <f>SUM(H134:L134)</f>
        <v/>
      </c>
      <c r="N134" s="25">
        <f>IF(M134=0,0,B133+M134*B134)</f>
        <v/>
      </c>
      <c r="P134" s="51" t="n">
        <v>0</v>
      </c>
      <c r="Q134" s="47">
        <f>IF($I$128&gt;'Сроки и стоимость'!$D$33,0,IF('Сроки и стоимость'!$D$35&gt;G133,SUM($Q$119:$Q$123),0))</f>
        <v/>
      </c>
      <c r="R134" s="47">
        <f>IF($J$128&gt;'Сроки и стоимость'!$D$33,0,IF('Сроки и стоимость'!$F$35&gt;G133,SUM($R$119:$R$123),0))</f>
        <v/>
      </c>
      <c r="S134" s="47">
        <f>IF($K$128&gt;'Сроки и стоимость'!$D$33,0,IF('Сроки и стоимость'!$H$35&gt;G133,SUM($S$119:$S$123),0))</f>
        <v/>
      </c>
      <c r="T134" s="47">
        <f>IF($L$128&gt;'Сроки и стоимость'!$D$33,0,IF('Сроки и стоимость'!$J$35&gt;G133,SUM($T$119:$T$123),0))</f>
        <v/>
      </c>
      <c r="U134" s="52">
        <f>SUM(P134:T134)</f>
        <v/>
      </c>
      <c r="V134" s="53">
        <f>U134*C134</f>
        <v/>
      </c>
    </row>
    <row r="135">
      <c r="M135" s="16" t="inlineStr">
        <is>
          <t>итого</t>
        </is>
      </c>
      <c r="N135" s="22">
        <f>SUM(N129:N134)</f>
        <v/>
      </c>
      <c r="U135" s="16" t="inlineStr">
        <is>
          <t>итого</t>
        </is>
      </c>
      <c r="V135" s="22">
        <f>SUM(V129:V134)</f>
        <v/>
      </c>
    </row>
    <row r="136" ht="15.75" customHeight="1" thickBot="1"/>
    <row r="137" ht="15.75" customHeight="1" thickBot="1">
      <c r="A137" s="54" t="inlineStr">
        <is>
          <t>атлант</t>
        </is>
      </c>
      <c r="G137" s="18" t="n"/>
      <c r="H137" s="19" t="n">
        <v>1</v>
      </c>
      <c r="I137" s="19" t="n">
        <v>2</v>
      </c>
      <c r="J137" s="19" t="n">
        <v>3</v>
      </c>
      <c r="K137" s="19" t="n">
        <v>4</v>
      </c>
      <c r="L137" s="19" t="n">
        <v>5</v>
      </c>
      <c r="M137" s="19" t="n"/>
      <c r="N137" s="20" t="n"/>
      <c r="P137" s="16" t="n">
        <v>1</v>
      </c>
      <c r="Q137" s="16" t="n">
        <v>2</v>
      </c>
      <c r="R137" s="16" t="n">
        <v>3</v>
      </c>
      <c r="S137" s="16" t="n">
        <v>4</v>
      </c>
      <c r="T137" s="16" t="n">
        <v>5</v>
      </c>
      <c r="U137" s="43" t="n"/>
      <c r="V137" s="44" t="n"/>
    </row>
    <row r="138">
      <c r="A138" s="18" t="inlineStr">
        <is>
          <t xml:space="preserve">пролет до 12 вкл - </t>
        </is>
      </c>
      <c r="B138" s="19" t="n">
        <v>0</v>
      </c>
      <c r="C138" s="45" t="n">
        <v>0.65</v>
      </c>
      <c r="D138" s="46" t="inlineStr">
        <is>
          <t>0+0,5=0,5 за балку до 12 метров и распорки  + 0,15 гор связи</t>
        </is>
      </c>
      <c r="E138" s="16">
        <f>$F$1*B138</f>
        <v/>
      </c>
      <c r="F138" s="16">
        <f>E138+$E$1</f>
        <v/>
      </c>
      <c r="G138" s="21" t="n">
        <v>12</v>
      </c>
      <c r="H138" s="16">
        <f>IF(H$128&gt;'Сроки и стоимость'!$D$33,0,IF('Сроки и стоимость'!$B$35&lt;=$G138,1,0))</f>
        <v/>
      </c>
      <c r="I138" s="16">
        <f>IF($I$128&gt;'Сроки и стоимость'!$D$33,0,IF('Сроки и стоимость'!$D$35&lt;=G138,1,0))</f>
        <v/>
      </c>
      <c r="J138" s="16">
        <f>IF($J$128&gt;'Сроки и стоимость'!$D$33,0,IF('Сроки и стоимость'!$F$35&lt;=G138,1,0))</f>
        <v/>
      </c>
      <c r="K138" s="16">
        <f>IF($K$128&gt;'Сроки и стоимость'!$D$33,0,IF('Сроки и стоимость'!$H$35&lt;=G138,1,0))</f>
        <v/>
      </c>
      <c r="L138" s="16">
        <f>IF($L$128&gt;'Сроки и стоимость'!$D$33,0,IF('Сроки и стоимость'!$J$35&lt;=G138,1,0))</f>
        <v/>
      </c>
      <c r="M138" s="16">
        <f>SUM(H138:L138)</f>
        <v/>
      </c>
      <c r="N138" s="22">
        <f>M138*B138</f>
        <v/>
      </c>
      <c r="P138" s="32" t="n">
        <v>0</v>
      </c>
      <c r="Q138" s="47">
        <f>IF($I$128&gt;'Сроки и стоимость'!$D$33,0,IF('Сроки и стоимость'!$D$35&lt;=G138,SUM($Q$119:$Q$123),0))</f>
        <v/>
      </c>
      <c r="R138" s="47">
        <f>IF($J$128&gt;'Сроки и стоимость'!$F$33,0,IF('Сроки и стоимость'!$F$35&lt;=G138,SUM($R$119:$R$123),0))</f>
        <v/>
      </c>
      <c r="S138" s="47">
        <f>IF($K$128&gt;'Сроки и стоимость'!$DF$33,0,IF('Сроки и стоимость'!$H$35&lt;=G138,SUM($S$119:$S$123),0))</f>
        <v/>
      </c>
      <c r="T138" s="47">
        <f>IF($L$128&gt;'Сроки и стоимость'!$DF$33,0,IF('Сроки и стоимость'!$J$35&lt;=G138,SUM($T$119:$T$123),0))</f>
        <v/>
      </c>
      <c r="U138" s="47">
        <f>SUM(P138:T138)</f>
        <v/>
      </c>
      <c r="V138" s="48">
        <f>U138*C138</f>
        <v/>
      </c>
    </row>
    <row r="139">
      <c r="A139" s="21" t="inlineStr">
        <is>
          <t xml:space="preserve">пролет от 12 до 18 вкл - </t>
        </is>
      </c>
      <c r="B139" s="16" t="n">
        <v>0.4</v>
      </c>
      <c r="C139" s="17" t="n">
        <v>1</v>
      </c>
      <c r="D139" s="40" t="inlineStr">
        <is>
          <t>0,4+0,35=0,75 за 2 доп балки до 18 метров и распорки + 0,3 гор связи</t>
        </is>
      </c>
      <c r="E139" s="16">
        <f>$F$1*B139</f>
        <v/>
      </c>
      <c r="F139" s="16">
        <f>E139+$E$1</f>
        <v/>
      </c>
      <c r="G139" s="21" t="n">
        <v>18</v>
      </c>
      <c r="H139" s="16">
        <f>IF($H$128&gt;'Сроки и стоимость'!$D$33,0,IF(AND('Сроки и стоимость'!$B$35&lt;=G139,'Сроки и стоимость'!$B$35&gt;G138),1,0))</f>
        <v/>
      </c>
      <c r="I139" s="16">
        <f>IF($I$128&gt;'Сроки и стоимость'!$D$33,0,IF(AND('Сроки и стоимость'!$D$35&lt;=G139,'Сроки и стоимость'!$D$35&gt;G138),1,0))</f>
        <v/>
      </c>
      <c r="J139" s="16">
        <f>IF($J$128&gt;'Сроки и стоимость'!$D$33,0,IF(AND('Сроки и стоимость'!$F$35&lt;=G139,'Сроки и стоимость'!$F$35&gt;G138),1,0))</f>
        <v/>
      </c>
      <c r="K139" s="16">
        <f>IF($K$128&gt;'Сроки и стоимость'!$D$33,0,IF(AND('Сроки и стоимость'!$H$35&lt;=G139,'Сроки и стоимость'!$H$35&gt;G138),1,0))</f>
        <v/>
      </c>
      <c r="L139" s="16">
        <f>IF($L$128&gt;'Сроки и стоимость'!$D$33,0,IF(AND('Сроки и стоимость'!$J$35&lt;=G139,'Сроки и стоимость'!$J$35&gt;G138),1,0))</f>
        <v/>
      </c>
      <c r="M139" s="16">
        <f>SUM(H139:L139)</f>
        <v/>
      </c>
      <c r="N139" s="22">
        <f>M139*B139</f>
        <v/>
      </c>
      <c r="P139" s="32" t="n">
        <v>0</v>
      </c>
      <c r="Q139" s="47">
        <f>IF($I$128&gt;'Сроки и стоимость'!$D$33,0,IF(AND('Сроки и стоимость'!$D$35&lt;=G139,'Сроки и стоимость'!$D$35&gt;G138),SUM($Q$119:$Q$123),0))</f>
        <v/>
      </c>
      <c r="R139" s="47">
        <f>IF($J$128&gt;'Сроки и стоимость'!$D$33,0,IF(AND('Сроки и стоимость'!$F$35&lt;=G139,'Сроки и стоимость'!$F$35&gt;G138),SUM($R$119:$R$123),0))</f>
        <v/>
      </c>
      <c r="S139" s="47">
        <f>IF($K$128&gt;'Сроки и стоимость'!$D$33,0,IF(AND('Сроки и стоимость'!$H$35&lt;=G139,'Сроки и стоимость'!$H$35&gt;G138),SUM($S$119:$S$123),0))</f>
        <v/>
      </c>
      <c r="T139" s="47">
        <f>IF($L$128&gt;'Сроки и стоимость'!$D$33,0,IF(AND('Сроки и стоимость'!$J$35&lt;=G139,'Сроки и стоимость'!$J$35&gt;G138),SUM($T$119:$T$123),0))</f>
        <v/>
      </c>
      <c r="U139" s="47">
        <f>SUM(P139:T139)</f>
        <v/>
      </c>
      <c r="V139" s="48">
        <f>U139*C139</f>
        <v/>
      </c>
      <c r="Y139" s="16" t="inlineStr">
        <is>
          <t>за доп гор. связи, за доп балку</t>
        </is>
      </c>
    </row>
    <row r="140">
      <c r="A140" s="21" t="inlineStr">
        <is>
          <t xml:space="preserve">пролет от 18 до 24 вкл - </t>
        </is>
      </c>
      <c r="B140" s="16" t="n">
        <v>0.8</v>
      </c>
      <c r="C140" s="17" t="n">
        <v>0.5</v>
      </c>
      <c r="D140" s="40" t="inlineStr">
        <is>
          <t>0,8+0,2=1,0 за 2 доп балки до 24 метров и распорки + 0,3 гор связи</t>
        </is>
      </c>
      <c r="E140" s="16">
        <f>$F$1*B140</f>
        <v/>
      </c>
      <c r="F140" s="16">
        <f>E140+$E$1</f>
        <v/>
      </c>
      <c r="G140" s="21" t="n">
        <v>24</v>
      </c>
      <c r="H140" s="16">
        <f>IF($H$128&gt;'Сроки и стоимость'!$D$33,0,IF(AND('Сроки и стоимость'!$B$35&lt;=G140,'Сроки и стоимость'!$B$35&gt;G139),1,0))</f>
        <v/>
      </c>
      <c r="I140" s="16">
        <f>IF($I$128&gt;'Сроки и стоимость'!$D$33,0,IF(AND('Сроки и стоимость'!$D$35&lt;=G140,'Сроки и стоимость'!$D$35&gt;G139),1,0))</f>
        <v/>
      </c>
      <c r="J140" s="16">
        <f>IF($J$128&gt;'Сроки и стоимость'!$D$33,0,IF(AND('Сроки и стоимость'!$F$35&lt;=G140,'Сроки и стоимость'!$F$35&gt;G139),1,0))</f>
        <v/>
      </c>
      <c r="K140" s="16">
        <f>IF($K$128&gt;'Сроки и стоимость'!$D$33,0,IF(AND('Сроки и стоимость'!$H$35&lt;=G140,'Сроки и стоимость'!$H$35&gt;G139),1,0))</f>
        <v/>
      </c>
      <c r="L140" s="16">
        <f>IF($L$128&gt;'Сроки и стоимость'!$D$33,0,IF(AND('Сроки и стоимость'!$J$35&lt;=G140,'Сроки и стоимость'!$J$35&gt;G139),1,0))</f>
        <v/>
      </c>
      <c r="M140" s="16">
        <f>SUM(H140:L140)</f>
        <v/>
      </c>
      <c r="N140" s="22">
        <f>M140*B140</f>
        <v/>
      </c>
      <c r="P140" s="32" t="n">
        <v>0</v>
      </c>
      <c r="Q140" s="47">
        <f>IF($I$128&gt;'Сроки и стоимость'!$D$33,0,IF(AND('Сроки и стоимость'!$D$35&lt;=G140,'Сроки и стоимость'!$D$35&gt;G139),SUM($Q$119:$Q$123),0))</f>
        <v/>
      </c>
      <c r="R140" s="47">
        <f>IF($J$128&gt;'Сроки и стоимость'!$D$33,0,IF(AND('Сроки и стоимость'!$F$35&lt;=G140,'Сроки и стоимость'!$F$35&gt;G139),SUM($R$119:$R$123),0))</f>
        <v/>
      </c>
      <c r="S140" s="47">
        <f>IF($K$128&gt;'Сроки и стоимость'!$D$33,0,IF(AND('Сроки и стоимость'!$H$35&lt;=G140,'Сроки и стоимость'!$H$35&gt;G139),SUM($S$119:$S$123),0))</f>
        <v/>
      </c>
      <c r="T140" s="47">
        <f>IF($L$128&gt;'Сроки и стоимость'!$D$33,0,IF(AND('Сроки и стоимость'!$J$35&lt;=G140,'Сроки и стоимость'!$J$35&gt;G139),SUM($T$119:$T$123),0))</f>
        <v/>
      </c>
      <c r="U140" s="47">
        <f>SUM(P140:T140)</f>
        <v/>
      </c>
      <c r="V140" s="48">
        <f>U140*C140</f>
        <v/>
      </c>
      <c r="Y140" s="16" t="inlineStr">
        <is>
          <t>за доп гор. связи, за доп усложненную балку</t>
        </is>
      </c>
    </row>
    <row r="141">
      <c r="A141" s="21" t="inlineStr">
        <is>
          <t xml:space="preserve">пролет от 24 до 30 вкл - </t>
        </is>
      </c>
      <c r="B141" s="16" t="n">
        <v>1.5</v>
      </c>
      <c r="C141" s="17" t="n">
        <v>0.5</v>
      </c>
      <c r="D141" s="40" t="inlineStr">
        <is>
          <t>1,5+0,05=1,55 за 3 доп балки до 30 метров и распорки + 0,45 гор связи</t>
        </is>
      </c>
      <c r="E141" s="16">
        <f>$F$1*B141</f>
        <v/>
      </c>
      <c r="F141" s="16">
        <f>E141+$E$1</f>
        <v/>
      </c>
      <c r="G141" s="21" t="n">
        <v>30</v>
      </c>
      <c r="H141" s="16">
        <f>IF($H$128&gt;'Сроки и стоимость'!$D$33,0,IF(AND('Сроки и стоимость'!$B$35&lt;=G141,'Сроки и стоимость'!$B$35&gt;G140),1,0))</f>
        <v/>
      </c>
      <c r="I141" s="16">
        <f>IF($I$128&gt;'Сроки и стоимость'!$D$33,0,IF(AND('Сроки и стоимость'!$D$35&lt;=G141,'Сроки и стоимость'!$D$35&gt;G140),1,0))</f>
        <v/>
      </c>
      <c r="J141" s="16">
        <f>IF($J$128&gt;'Сроки и стоимость'!$D$33,0,IF(AND('Сроки и стоимость'!$F$35&lt;=G141,'Сроки и стоимость'!$F$35&gt;G140),1,0))</f>
        <v/>
      </c>
      <c r="K141" s="16">
        <f>IF($K$128&gt;'Сроки и стоимость'!$D$33,0,IF(AND('Сроки и стоимость'!$H$35&lt;=G141,'Сроки и стоимость'!$H$35&gt;G140),1,0))</f>
        <v/>
      </c>
      <c r="L141" s="16">
        <f>IF($L$128&gt;'Сроки и стоимость'!$D$33,0,IF(AND('Сроки и стоимость'!$J$35&lt;=G141,'Сроки и стоимость'!$J$35&gt;G140),1,0))</f>
        <v/>
      </c>
      <c r="M141" s="16">
        <f>SUM(H141:L141)</f>
        <v/>
      </c>
      <c r="N141" s="22">
        <f>M141*B141</f>
        <v/>
      </c>
      <c r="P141" s="32" t="n">
        <v>0</v>
      </c>
      <c r="Q141" s="47">
        <f>IF($I$128&gt;'Сроки и стоимость'!$D$33,0,IF(AND('Сроки и стоимость'!$D$35&lt;=G141,'Сроки и стоимость'!$D$35&gt;G140),SUM($Q$119:$Q$123),0))</f>
        <v/>
      </c>
      <c r="R141" s="47">
        <f>IF($J$128&gt;'Сроки и стоимость'!$D$33,0,IF(AND('Сроки и стоимость'!$F$35&lt;=G141,'Сроки и стоимость'!$F$35&gt;G140),SUM($R$119:$R$123),0))</f>
        <v/>
      </c>
      <c r="S141" s="47">
        <f>IF($K$128&gt;'Сроки и стоимость'!$D$33,0,IF(AND('Сроки и стоимость'!$H$35&lt;=G141,'Сроки и стоимость'!$H$35&gt;G140),SUM($S$119:$S$123),0))</f>
        <v/>
      </c>
      <c r="T141" s="47">
        <f>IF($L$128&gt;'Сроки и стоимость'!$D$33,0,IF(AND('Сроки и стоимость'!$J$35&lt;=G141,'Сроки и стоимость'!$J$35&gt;G140),SUM($T$119:$T$123),0))</f>
        <v/>
      </c>
      <c r="U141" s="47">
        <f>SUM(P141:T141)</f>
        <v/>
      </c>
      <c r="V141" s="48">
        <f>U141*C141</f>
        <v/>
      </c>
      <c r="Y141" s="16" t="inlineStr">
        <is>
          <t>за доп гор. связи, за доп балку и усложненную балку</t>
        </is>
      </c>
    </row>
    <row r="142">
      <c r="A142" s="21" t="inlineStr">
        <is>
          <t xml:space="preserve">пролет от 30 до 36 вкл - </t>
        </is>
      </c>
      <c r="B142" s="16" t="n">
        <v>2.5</v>
      </c>
      <c r="C142" s="17" t="n">
        <v>0.35</v>
      </c>
      <c r="D142" s="40" t="inlineStr">
        <is>
          <t>2,5-0,1=2,4 за 3 доп балки до 36 метров и распорки + 0,45 гор связи</t>
        </is>
      </c>
      <c r="E142" s="16">
        <f>$F$1*B142</f>
        <v/>
      </c>
      <c r="F142" s="16">
        <f>E142+$E$1</f>
        <v/>
      </c>
      <c r="G142" s="21" t="n">
        <v>36</v>
      </c>
      <c r="H142" s="16">
        <f>IF($H$128&gt;'Сроки и стоимость'!$D$33,0,IF(AND('Сроки и стоимость'!$B$35&lt;=G142,'Сроки и стоимость'!$B$35&gt;G141),1,0))</f>
        <v/>
      </c>
      <c r="I142" s="16">
        <f>IF($I$128&gt;'Сроки и стоимость'!$D$33,0,IF(AND('Сроки и стоимость'!$D$35&lt;=G142,'Сроки и стоимость'!$D$35&gt;G141),1,0))</f>
        <v/>
      </c>
      <c r="J142" s="16">
        <f>IF($J$128&gt;'Сроки и стоимость'!$D$33,0,IF(AND('Сроки и стоимость'!$F$35&lt;=G142,'Сроки и стоимость'!$F$35&gt;G141),1,0))</f>
        <v/>
      </c>
      <c r="K142" s="16">
        <f>IF($K$128&gt;'Сроки и стоимость'!$D$33,0,IF(AND('Сроки и стоимость'!$H$35&lt;=G142,'Сроки и стоимость'!$H$35&gt;G141),1,0))</f>
        <v/>
      </c>
      <c r="L142" s="16">
        <f>IF($L$128&gt;'Сроки и стоимость'!$D$33,0,IF(AND('Сроки и стоимость'!$J$35&lt;=G142,'Сроки и стоимость'!$J$35&gt;G141),1,0))</f>
        <v/>
      </c>
      <c r="M142" s="16">
        <f>SUM(H142:L142)</f>
        <v/>
      </c>
      <c r="N142" s="22">
        <f>M142*B142</f>
        <v/>
      </c>
      <c r="P142" s="32" t="n">
        <v>0</v>
      </c>
      <c r="Q142" s="47">
        <f>IF($I$128&gt;'Сроки и стоимость'!$D$33,0,IF(AND('Сроки и стоимость'!$D$35&lt;=G142,'Сроки и стоимость'!$D$35&gt;G141),SUM($Q$119:$Q$123),0))</f>
        <v/>
      </c>
      <c r="R142" s="47">
        <f>IF($J$128&gt;'Сроки и стоимость'!$D$33,0,IF(AND('Сроки и стоимость'!$F$35&lt;=G142,'Сроки и стоимость'!$F$35&gt;G141),SUM($R$119:$R$123),0))</f>
        <v/>
      </c>
      <c r="S142" s="47">
        <f>IF($K$128&gt;'Сроки и стоимость'!$D$33,0,IF(AND('Сроки и стоимость'!$H$35&lt;=G142,'Сроки и стоимость'!$H$35&gt;G141),SUM($S$119:$S$123),0))</f>
        <v/>
      </c>
      <c r="T142" s="47">
        <f>IF($L$128&gt;'Сроки и стоимость'!$D$33,0,IF(AND('Сроки и стоимость'!$J$35&lt;=G142,'Сроки и стоимость'!$J$35&gt;G141),SUM($T$119:$T$123),0))</f>
        <v/>
      </c>
      <c r="U142" s="47">
        <f>SUM(P142:T142)</f>
        <v/>
      </c>
      <c r="V142" s="48">
        <f>U142*C142</f>
        <v/>
      </c>
      <c r="Y142" s="16" t="inlineStr">
        <is>
          <t>за доп гор. связи, за доп балку и усложненную балку</t>
        </is>
      </c>
    </row>
    <row r="143" ht="15.75" customHeight="1" thickBot="1">
      <c r="A143" s="23" t="inlineStr">
        <is>
          <t xml:space="preserve">пролет от 36 - </t>
        </is>
      </c>
      <c r="B143" s="24" t="n">
        <v>1</v>
      </c>
      <c r="C143" s="55" t="n">
        <v>0</v>
      </c>
      <c r="D143" s="50" t="inlineStr">
        <is>
          <t>за каждые 6 метров</t>
        </is>
      </c>
      <c r="E143" s="16">
        <f>$F$1*B143</f>
        <v/>
      </c>
      <c r="F143" s="16">
        <f>E143+$E$1</f>
        <v/>
      </c>
      <c r="G143" s="23" t="n"/>
      <c r="H143" s="28">
        <f>IF($H$128&gt;'Сроки и стоимость'!$D$33,0,IF('Сроки и стоимость'!$B$35&gt;G142,_xlfn.CEILING.MATH(('Сроки и стоимость'!$B$35-'Атлант, Великан'!$G$133)/6),0))</f>
        <v/>
      </c>
      <c r="I143" s="28">
        <f>IF($I$128&gt;'Сроки и стоимость'!$D$33,0,IF('Сроки и стоимость'!$D$35&gt;G142,_xlfn.CEILING.MATH(('Сроки и стоимость'!$D$35-'Атлант, Великан'!$G$133)/6),0))</f>
        <v/>
      </c>
      <c r="J143" s="28">
        <f>IF($J$128&gt;'Сроки и стоимость'!$D$33,0,IF('Сроки и стоимость'!$F$35&gt;G142,_xlfn.CEILING.MATH(('Сроки и стоимость'!$F$35-'Атлант, Великан'!$G$133)/6),0))</f>
        <v/>
      </c>
      <c r="K143" s="28">
        <f>IF($K$128&gt;'Сроки и стоимость'!$D$33,0,IF('Сроки и стоимость'!$H$35&gt;G142,_xlfn.CEILING.MATH(('Сроки и стоимость'!$H$35-'Атлант, Великан'!$G$133)/6),0))</f>
        <v/>
      </c>
      <c r="L143" s="28">
        <f>IF($L$128&gt;'Сроки и стоимость'!$D$33,0,IF('Сроки и стоимость'!$J$35&gt;G142,_xlfn.CEILING.MATH(('Сроки и стоимость'!$J$35-'Атлант, Великан'!$G$133)/6),0))</f>
        <v/>
      </c>
      <c r="M143" s="28">
        <f>SUM(H143:L143)</f>
        <v/>
      </c>
      <c r="N143" s="25">
        <f>IF(M143=0,0,B142+M143*B143)</f>
        <v/>
      </c>
      <c r="P143" s="51" t="n">
        <v>0</v>
      </c>
      <c r="Q143" s="47">
        <f>IF($I$128&gt;'Сроки и стоимость'!$D$33,0,IF('Сроки и стоимость'!$D$35&gt;G142,SUM($Q$119:$Q$123),0))</f>
        <v/>
      </c>
      <c r="R143" s="47">
        <f>IF($J$128&gt;'Сроки и стоимость'!$D$33,0,IF('Сроки и стоимость'!$F$35&gt;G142,SUM($R$119:$R$123),0))</f>
        <v/>
      </c>
      <c r="S143" s="47">
        <f>IF($K$128&gt;'Сроки и стоимость'!$D$33,0,IF('Сроки и стоимость'!$H$35&gt;G142,SUM($S$119:$S$123),0))</f>
        <v/>
      </c>
      <c r="T143" s="47">
        <f>IF($L$128&gt;'Сроки и стоимость'!$D$33,0,IF('Сроки и стоимость'!$J$35&gt;G142,SUM($T$119:$T$123),0))</f>
        <v/>
      </c>
      <c r="U143" s="52">
        <f>SUM(P143:T143)</f>
        <v/>
      </c>
      <c r="V143" s="53">
        <f>U143*C143</f>
        <v/>
      </c>
    </row>
    <row r="144">
      <c r="M144" s="16" t="inlineStr">
        <is>
          <t>итого</t>
        </is>
      </c>
      <c r="N144" s="22">
        <f>SUM(N138:N143)</f>
        <v/>
      </c>
      <c r="U144" s="16" t="inlineStr">
        <is>
          <t>итого</t>
        </is>
      </c>
      <c r="V144" s="22">
        <f>SUM(V138:V143)</f>
        <v/>
      </c>
    </row>
    <row r="145" ht="15.75" customHeight="1" thickBot="1"/>
    <row r="146" ht="15.75" customHeight="1" thickBot="1">
      <c r="A146" s="42" t="inlineStr">
        <is>
          <t>атлант-М</t>
        </is>
      </c>
      <c r="G146" s="18" t="n"/>
      <c r="H146" s="19" t="n">
        <v>1</v>
      </c>
      <c r="I146" s="19" t="n">
        <v>2</v>
      </c>
      <c r="J146" s="19" t="n">
        <v>3</v>
      </c>
      <c r="K146" s="19" t="n">
        <v>4</v>
      </c>
      <c r="L146" s="19" t="n">
        <v>5</v>
      </c>
      <c r="M146" s="19" t="n"/>
      <c r="N146" s="20" t="n"/>
      <c r="P146" s="16" t="n">
        <v>1</v>
      </c>
      <c r="Q146" s="16" t="n">
        <v>2</v>
      </c>
      <c r="R146" s="16" t="n">
        <v>3</v>
      </c>
      <c r="S146" s="16" t="n">
        <v>4</v>
      </c>
      <c r="T146" s="16" t="n">
        <v>5</v>
      </c>
      <c r="U146" s="43" t="n"/>
      <c r="V146" s="44" t="n"/>
    </row>
    <row r="147">
      <c r="A147" s="18" t="inlineStr">
        <is>
          <t xml:space="preserve">пролет до 12 вкл - </t>
        </is>
      </c>
      <c r="B147" s="19" t="n">
        <v>0</v>
      </c>
      <c r="C147" s="45" t="n">
        <v>1.05</v>
      </c>
      <c r="D147" s="46" t="inlineStr">
        <is>
          <t>0+0,9=0,9 за балку с затяжкой до 12 метров и распорки  + 0,15 гор связи</t>
        </is>
      </c>
      <c r="E147" s="16">
        <f>$F$1*B147</f>
        <v/>
      </c>
      <c r="F147" s="16">
        <f>E147+$E$1</f>
        <v/>
      </c>
      <c r="G147" s="21" t="n">
        <v>12</v>
      </c>
      <c r="H147" s="16">
        <f>IF(H$128&gt;'Сроки и стоимость'!$D$33,0,IF('Сроки и стоимость'!$B$35&lt;=$G147,1,0))</f>
        <v/>
      </c>
      <c r="I147" s="16">
        <f>IF($I$128&gt;'Сроки и стоимость'!$D$33,0,IF('Сроки и стоимость'!$D$35&lt;=G147,1,0))</f>
        <v/>
      </c>
      <c r="J147" s="16">
        <f>IF($J$128&gt;'Сроки и стоимость'!$D$33,0,IF('Сроки и стоимость'!$F$35&lt;=G147,1,0))</f>
        <v/>
      </c>
      <c r="K147" s="16">
        <f>IF($K$128&gt;'Сроки и стоимость'!$D$33,0,IF('Сроки и стоимость'!$H$35&lt;=G147,1,0))</f>
        <v/>
      </c>
      <c r="L147" s="16">
        <f>IF($L$128&gt;'Сроки и стоимость'!$D$33,0,IF('Сроки и стоимость'!$J$35&lt;=G147,1,0))</f>
        <v/>
      </c>
      <c r="M147" s="16">
        <f>SUM(H147:L147)</f>
        <v/>
      </c>
      <c r="N147" s="22">
        <f>M147*B147</f>
        <v/>
      </c>
      <c r="P147" s="32" t="n">
        <v>0</v>
      </c>
      <c r="Q147" s="47">
        <f>IF($I$128&gt;'Сроки и стоимость'!$D$33,0,IF('Сроки и стоимость'!$D$35&lt;=G147,SUM($Q$119:$Q$123),0))</f>
        <v/>
      </c>
      <c r="R147" s="47">
        <f>IF($J$128&gt;'Сроки и стоимость'!$F$33,0,IF('Сроки и стоимость'!$F$35&lt;=G147,SUM($R$119:$R$123),0))</f>
        <v/>
      </c>
      <c r="S147" s="47">
        <f>IF($K$128&gt;'Сроки и стоимость'!$DF$33,0,IF('Сроки и стоимость'!$H$35&lt;=G147,SUM($S$119:$S$123),0))</f>
        <v/>
      </c>
      <c r="T147" s="47">
        <f>IF($L$128&gt;'Сроки и стоимость'!$DF$33,0,IF('Сроки и стоимость'!$J$35&lt;=G147,SUM($T$119:$T$123),0))</f>
        <v/>
      </c>
      <c r="U147" s="47">
        <f>SUM(P147:T147)</f>
        <v/>
      </c>
      <c r="V147" s="48">
        <f>U147*C147</f>
        <v/>
      </c>
    </row>
    <row r="148">
      <c r="A148" s="21" t="inlineStr">
        <is>
          <t xml:space="preserve">пролет от 12 до 18 вкл - </t>
        </is>
      </c>
      <c r="B148" s="16" t="n">
        <v>0.45</v>
      </c>
      <c r="C148" s="17" t="n">
        <v>1.05</v>
      </c>
      <c r="D148" s="40" t="inlineStr">
        <is>
          <t>0,45+0,75=1,2 за 2 доп балку с затяжкой до 18 метров и распорки + 0,3 гор связи</t>
        </is>
      </c>
      <c r="E148" s="16">
        <f>$F$1*B148</f>
        <v/>
      </c>
      <c r="F148" s="16">
        <f>E148+$E$1</f>
        <v/>
      </c>
      <c r="G148" s="21" t="n">
        <v>18</v>
      </c>
      <c r="H148" s="16">
        <f>IF($H$128&gt;'Сроки и стоимость'!$D$33,0,IF(AND('Сроки и стоимость'!$B$35&lt;=G148,'Сроки и стоимость'!$B$35&gt;G147),1,0))</f>
        <v/>
      </c>
      <c r="I148" s="16">
        <f>IF($I$128&gt;'Сроки и стоимость'!$D$33,0,IF(AND('Сроки и стоимость'!$D$35&lt;=G148,'Сроки и стоимость'!$D$35&gt;G147),1,0))</f>
        <v/>
      </c>
      <c r="J148" s="16">
        <f>IF($J$128&gt;'Сроки и стоимость'!$D$33,0,IF(AND('Сроки и стоимость'!$F$35&lt;=G148,'Сроки и стоимость'!$F$35&gt;G147),1,0))</f>
        <v/>
      </c>
      <c r="K148" s="16">
        <f>IF($K$128&gt;'Сроки и стоимость'!$D$33,0,IF(AND('Сроки и стоимость'!$H$35&lt;=G148,'Сроки и стоимость'!$H$35&gt;G147),1,0))</f>
        <v/>
      </c>
      <c r="L148" s="16">
        <f>IF($L$128&gt;'Сроки и стоимость'!$D$33,0,IF(AND('Сроки и стоимость'!$J$35&lt;=G148,'Сроки и стоимость'!$J$35&gt;G147),1,0))</f>
        <v/>
      </c>
      <c r="M148" s="16">
        <f>SUM(H148:L148)</f>
        <v/>
      </c>
      <c r="N148" s="22">
        <f>M148*B148</f>
        <v/>
      </c>
      <c r="P148" s="32" t="n">
        <v>0</v>
      </c>
      <c r="Q148" s="47">
        <f>IF($I$128&gt;'Сроки и стоимость'!$D$33,0,IF(AND('Сроки и стоимость'!$D$35&lt;=G148,'Сроки и стоимость'!$D$35&gt;G147),SUM($Q$119:$Q$123),0))</f>
        <v/>
      </c>
      <c r="R148" s="47">
        <f>IF($J$128&gt;'Сроки и стоимость'!$D$33,0,IF(AND('Сроки и стоимость'!$F$35&lt;=G148,'Сроки и стоимость'!$F$35&gt;G147),SUM($R$119:$R$123),0))</f>
        <v/>
      </c>
      <c r="S148" s="47">
        <f>IF($K$128&gt;'Сроки и стоимость'!$D$33,0,IF(AND('Сроки и стоимость'!$H$35&lt;=G148,'Сроки и стоимость'!$H$35&gt;G147),SUM($S$119:$S$123),0))</f>
        <v/>
      </c>
      <c r="T148" s="47">
        <f>IF($L$128&gt;'Сроки и стоимость'!$D$33,0,IF(AND('Сроки и стоимость'!$J$35&lt;=G148,'Сроки и стоимость'!$J$35&gt;G147),SUM($T$119:$T$123),0))</f>
        <v/>
      </c>
      <c r="U148" s="47">
        <f>SUM(P148:T148)</f>
        <v/>
      </c>
      <c r="V148" s="48">
        <f>U148*C148</f>
        <v/>
      </c>
      <c r="Y148" s="16" t="inlineStr">
        <is>
          <t>за доп гор. связи, за доп балку</t>
        </is>
      </c>
    </row>
    <row r="149">
      <c r="A149" s="21" t="inlineStr">
        <is>
          <t xml:space="preserve">пролет от 18 до 24 вкл - </t>
        </is>
      </c>
      <c r="B149" s="16" t="n">
        <v>0.9</v>
      </c>
      <c r="C149" s="17" t="n">
        <v>0.8</v>
      </c>
      <c r="D149" s="40" t="inlineStr">
        <is>
          <t>0,9+0,5=1,4 за 2 доп балку с затяжкой до 24 метров и распорки + 0,3 гор связи</t>
        </is>
      </c>
      <c r="E149" s="16">
        <f>$F$1*B149</f>
        <v/>
      </c>
      <c r="F149" s="16">
        <f>E149+$E$1</f>
        <v/>
      </c>
      <c r="G149" s="21" t="n">
        <v>24</v>
      </c>
      <c r="H149" s="16">
        <f>IF($H$128&gt;'Сроки и стоимость'!$D$33,0,IF(AND('Сроки и стоимость'!$B$35&lt;=G149,'Сроки и стоимость'!$B$35&gt;G148),1,0))</f>
        <v/>
      </c>
      <c r="I149" s="16">
        <f>IF($I$128&gt;'Сроки и стоимость'!$D$33,0,IF(AND('Сроки и стоимость'!$D$35&lt;=G149,'Сроки и стоимость'!$D$35&gt;G148),1,0))</f>
        <v/>
      </c>
      <c r="J149" s="16">
        <f>IF($J$128&gt;'Сроки и стоимость'!$D$33,0,IF(AND('Сроки и стоимость'!$F$35&lt;=G149,'Сроки и стоимость'!$F$35&gt;G148),1,0))</f>
        <v/>
      </c>
      <c r="K149" s="16">
        <f>IF($K$128&gt;'Сроки и стоимость'!$D$33,0,IF(AND('Сроки и стоимость'!$H$35&lt;=G149,'Сроки и стоимость'!$H$35&gt;G148),1,0))</f>
        <v/>
      </c>
      <c r="L149" s="16">
        <f>IF($L$128&gt;'Сроки и стоимость'!$D$33,0,IF(AND('Сроки и стоимость'!$J$35&lt;=G149,'Сроки и стоимость'!$J$35&gt;G148),1,0))</f>
        <v/>
      </c>
      <c r="M149" s="16">
        <f>SUM(H149:L149)</f>
        <v/>
      </c>
      <c r="N149" s="22">
        <f>M149*B149</f>
        <v/>
      </c>
      <c r="P149" s="32" t="n">
        <v>0</v>
      </c>
      <c r="Q149" s="47">
        <f>IF($I$128&gt;'Сроки и стоимость'!$D$33,0,IF(AND('Сроки и стоимость'!$D$35&lt;=G149,'Сроки и стоимость'!$D$35&gt;G148),SUM($Q$119:$Q$123),0))</f>
        <v/>
      </c>
      <c r="R149" s="47">
        <f>IF($J$128&gt;'Сроки и стоимость'!$D$33,0,IF(AND('Сроки и стоимость'!$F$35&lt;=G149,'Сроки и стоимость'!$F$35&gt;G148),SUM($R$119:$R$123),0))</f>
        <v/>
      </c>
      <c r="S149" s="47">
        <f>IF($K$128&gt;'Сроки и стоимость'!$D$33,0,IF(AND('Сроки и стоимость'!$H$35&lt;=G149,'Сроки и стоимость'!$H$35&gt;G148),SUM($S$119:$S$123),0))</f>
        <v/>
      </c>
      <c r="T149" s="47">
        <f>IF($L$128&gt;'Сроки и стоимость'!$D$33,0,IF(AND('Сроки и стоимость'!$J$35&lt;=G149,'Сроки и стоимость'!$J$35&gt;G148),SUM($T$119:$T$123),0))</f>
        <v/>
      </c>
      <c r="U149" s="47">
        <f>SUM(P149:T149)</f>
        <v/>
      </c>
      <c r="V149" s="48">
        <f>U149*C149</f>
        <v/>
      </c>
      <c r="Y149" s="16" t="inlineStr">
        <is>
          <t>за доп гор. связи, за доп усложненную балку и затяжку</t>
        </is>
      </c>
    </row>
    <row r="150">
      <c r="A150" s="21" t="inlineStr">
        <is>
          <t xml:space="preserve">пролет от 24 до 30 вкл - </t>
        </is>
      </c>
      <c r="B150" s="16" t="n">
        <v>1.65</v>
      </c>
      <c r="C150" s="17" t="n">
        <v>0.8</v>
      </c>
      <c r="D150" s="40" t="inlineStr">
        <is>
          <t>1,65+0,35=2,0 за 3 доп балку с затяжкой до 30 метров и распорки + 0,45 гор связи</t>
        </is>
      </c>
      <c r="E150" s="16">
        <f>$F$1*B150</f>
        <v/>
      </c>
      <c r="F150" s="16">
        <f>E150+$E$1</f>
        <v/>
      </c>
      <c r="G150" s="21" t="n">
        <v>30</v>
      </c>
      <c r="H150" s="16">
        <f>IF($H$128&gt;'Сроки и стоимость'!$D$33,0,IF(AND('Сроки и стоимость'!$B$35&lt;=G150,'Сроки и стоимость'!$B$35&gt;G149),1,0))</f>
        <v/>
      </c>
      <c r="I150" s="16">
        <f>IF($I$128&gt;'Сроки и стоимость'!$D$33,0,IF(AND('Сроки и стоимость'!$D$35&lt;=G150,'Сроки и стоимость'!$D$35&gt;G149),1,0))</f>
        <v/>
      </c>
      <c r="J150" s="16">
        <f>IF($J$128&gt;'Сроки и стоимость'!$D$33,0,IF(AND('Сроки и стоимость'!$F$35&lt;=G150,'Сроки и стоимость'!$F$35&gt;G149),1,0))</f>
        <v/>
      </c>
      <c r="K150" s="16">
        <f>IF($K$128&gt;'Сроки и стоимость'!$D$33,0,IF(AND('Сроки и стоимость'!$H$35&lt;=G150,'Сроки и стоимость'!$H$35&gt;G149),1,0))</f>
        <v/>
      </c>
      <c r="L150" s="16">
        <f>IF($L$128&gt;'Сроки и стоимость'!$D$33,0,IF(AND('Сроки и стоимость'!$J$35&lt;=G150,'Сроки и стоимость'!$J$35&gt;G149),1,0))</f>
        <v/>
      </c>
      <c r="M150" s="16">
        <f>SUM(H150:L150)</f>
        <v/>
      </c>
      <c r="N150" s="22">
        <f>M150*B150</f>
        <v/>
      </c>
      <c r="P150" s="32" t="n">
        <v>0</v>
      </c>
      <c r="Q150" s="47">
        <f>IF($I$128&gt;'Сроки и стоимость'!$D$33,0,IF(AND('Сроки и стоимость'!$D$35&lt;=G150,'Сроки и стоимость'!$D$35&gt;G149),SUM($Q$119:$Q$123),0))</f>
        <v/>
      </c>
      <c r="R150" s="47">
        <f>IF($J$128&gt;'Сроки и стоимость'!$D$33,0,IF(AND('Сроки и стоимость'!$F$35&lt;=G150,'Сроки и стоимость'!$F$35&gt;G149),SUM($R$119:$R$123),0))</f>
        <v/>
      </c>
      <c r="S150" s="47">
        <f>IF($K$128&gt;'Сроки и стоимость'!$D$33,0,IF(AND('Сроки и стоимость'!$H$35&lt;=G150,'Сроки и стоимость'!$H$35&gt;G149),SUM($S$119:$S$123),0))</f>
        <v/>
      </c>
      <c r="T150" s="47">
        <f>IF($L$128&gt;'Сроки и стоимость'!$D$33,0,IF(AND('Сроки и стоимость'!$J$35&lt;=G150,'Сроки и стоимость'!$J$35&gt;G149),SUM($T$119:$T$123),0))</f>
        <v/>
      </c>
      <c r="U150" s="47">
        <f>SUM(P150:T150)</f>
        <v/>
      </c>
      <c r="V150" s="48">
        <f>U150*C150</f>
        <v/>
      </c>
      <c r="Y150" s="16" t="inlineStr">
        <is>
          <t>за доп гор. связи, за доп балку и усложненную балку и затяжку</t>
        </is>
      </c>
    </row>
    <row r="151">
      <c r="A151" s="21" t="inlineStr">
        <is>
          <t xml:space="preserve">пролет от 30 до 36 вкл - </t>
        </is>
      </c>
      <c r="B151" s="16" t="n">
        <v>2.75</v>
      </c>
      <c r="C151" s="17" t="n">
        <v>0.55</v>
      </c>
      <c r="D151" s="40" t="inlineStr">
        <is>
          <t>2,75+0,1=2,85 за 3 доп балку с затяжкой до 36 метров и распорки + 0,45 гор связи</t>
        </is>
      </c>
      <c r="E151" s="16">
        <f>$F$1*B151</f>
        <v/>
      </c>
      <c r="F151" s="16">
        <f>E151+$E$1</f>
        <v/>
      </c>
      <c r="G151" s="21" t="n">
        <v>36</v>
      </c>
      <c r="H151" s="16">
        <f>IF($H$128&gt;'Сроки и стоимость'!$D$33,0,IF(AND('Сроки и стоимость'!$B$35&lt;=G151,'Сроки и стоимость'!$B$35&gt;G150),1,0))</f>
        <v/>
      </c>
      <c r="I151" s="16">
        <f>IF($I$128&gt;'Сроки и стоимость'!$D$33,0,IF(AND('Сроки и стоимость'!$D$35&lt;=G151,'Сроки и стоимость'!$D$35&gt;G150),1,0))</f>
        <v/>
      </c>
      <c r="J151" s="16">
        <f>IF($J$128&gt;'Сроки и стоимость'!$D$33,0,IF(AND('Сроки и стоимость'!$F$35&lt;=G151,'Сроки и стоимость'!$F$35&gt;G150),1,0))</f>
        <v/>
      </c>
      <c r="K151" s="16">
        <f>IF($K$128&gt;'Сроки и стоимость'!$D$33,0,IF(AND('Сроки и стоимость'!$H$35&lt;=G151,'Сроки и стоимость'!$H$35&gt;G150),1,0))</f>
        <v/>
      </c>
      <c r="L151" s="16">
        <f>IF($L$128&gt;'Сроки и стоимость'!$D$33,0,IF(AND('Сроки и стоимость'!$J$35&lt;=G151,'Сроки и стоимость'!$J$35&gt;G150),1,0))</f>
        <v/>
      </c>
      <c r="M151" s="16">
        <f>SUM(H151:L151)</f>
        <v/>
      </c>
      <c r="N151" s="22">
        <f>M151*B151</f>
        <v/>
      </c>
      <c r="P151" s="32" t="n">
        <v>0</v>
      </c>
      <c r="Q151" s="47">
        <f>IF($I$128&gt;'Сроки и стоимость'!$D$33,0,IF(AND('Сроки и стоимость'!$D$35&lt;=G151,'Сроки и стоимость'!$D$35&gt;G150),SUM($Q$119:$Q$123),0))</f>
        <v/>
      </c>
      <c r="R151" s="47">
        <f>IF($J$128&gt;'Сроки и стоимость'!$D$33,0,IF(AND('Сроки и стоимость'!$F$35&lt;=G151,'Сроки и стоимость'!$F$35&gt;G150),SUM($R$119:$R$123),0))</f>
        <v/>
      </c>
      <c r="S151" s="47">
        <f>IF($K$128&gt;'Сроки и стоимость'!$D$33,0,IF(AND('Сроки и стоимость'!$H$35&lt;=G151,'Сроки и стоимость'!$H$35&gt;G150),SUM($S$119:$S$123),0))</f>
        <v/>
      </c>
      <c r="T151" s="47">
        <f>IF($L$128&gt;'Сроки и стоимость'!$D$33,0,IF(AND('Сроки и стоимость'!$J$35&lt;=G151,'Сроки и стоимость'!$J$35&gt;G150),SUM($T$119:$T$123),0))</f>
        <v/>
      </c>
      <c r="U151" s="47">
        <f>SUM(P151:T151)</f>
        <v/>
      </c>
      <c r="V151" s="48">
        <f>U151*C151</f>
        <v/>
      </c>
      <c r="Y151" s="16" t="inlineStr">
        <is>
          <t>за доп гор. связи, за доп балку и усложненную балку и затяжку</t>
        </is>
      </c>
    </row>
    <row r="152" ht="15.75" customHeight="1" thickBot="1">
      <c r="A152" s="23" t="inlineStr">
        <is>
          <t xml:space="preserve">пролет от 36 - </t>
        </is>
      </c>
      <c r="B152" s="24" t="n">
        <v>1.5</v>
      </c>
      <c r="C152" s="49" t="n">
        <v>0.15</v>
      </c>
      <c r="D152" s="50" t="inlineStr">
        <is>
          <t>за каждые 6 метров</t>
        </is>
      </c>
      <c r="E152" s="16">
        <f>$F$1*B152</f>
        <v/>
      </c>
      <c r="F152" s="16">
        <f>E152+$E$1</f>
        <v/>
      </c>
      <c r="G152" s="23" t="n"/>
      <c r="H152" s="28">
        <f>IF($H$128&gt;'Сроки и стоимость'!$D$33,0,IF('Сроки и стоимость'!$B$35&gt;G151,_xlfn.CEILING.MATH(('Сроки и стоимость'!$B$35-'Атлант, Великан'!$G$133)/6),0))</f>
        <v/>
      </c>
      <c r="I152" s="28">
        <f>IF($I$128&gt;'Сроки и стоимость'!$D$33,0,IF('Сроки и стоимость'!$D$35&gt;G151,_xlfn.CEILING.MATH(('Сроки и стоимость'!$D$35-'Атлант, Великан'!$G$133)/6),0))</f>
        <v/>
      </c>
      <c r="J152" s="28">
        <f>IF($J$128&gt;'Сроки и стоимость'!$D$33,0,IF('Сроки и стоимость'!$F$35&gt;G151,_xlfn.CEILING.MATH(('Сроки и стоимость'!$F$35-'Атлант, Великан'!$G$133)/6),0))</f>
        <v/>
      </c>
      <c r="K152" s="28">
        <f>IF($K$128&gt;'Сроки и стоимость'!$D$33,0,IF('Сроки и стоимость'!$H$35&gt;G151,_xlfn.CEILING.MATH(('Сроки и стоимость'!$H$35-'Атлант, Великан'!$G$133)/6),0))</f>
        <v/>
      </c>
      <c r="L152" s="28">
        <f>IF($L$128&gt;'Сроки и стоимость'!$D$33,0,IF('Сроки и стоимость'!$J$35&gt;G151,_xlfn.CEILING.MATH(('Сроки и стоимость'!$J$35-'Атлант, Великан'!$G$133)/6),0))</f>
        <v/>
      </c>
      <c r="M152" s="28">
        <f>SUM(H152:L152)</f>
        <v/>
      </c>
      <c r="N152" s="25">
        <f>IF(M152=0,0,B151+M152*B152)</f>
        <v/>
      </c>
      <c r="P152" s="51" t="n">
        <v>0</v>
      </c>
      <c r="Q152" s="47">
        <f>IF($I$128&gt;'Сроки и стоимость'!$D$33,0,IF('Сроки и стоимость'!$D$35&gt;G151,SUM($Q$119:$Q$123),0))</f>
        <v/>
      </c>
      <c r="R152" s="47">
        <f>IF($J$128&gt;'Сроки и стоимость'!$D$33,0,IF('Сроки и стоимость'!$F$35&gt;G151,SUM($R$119:$R$123),0))</f>
        <v/>
      </c>
      <c r="S152" s="47">
        <f>IF($K$128&gt;'Сроки и стоимость'!$D$33,0,IF('Сроки и стоимость'!$H$35&gt;G151,SUM($S$119:$S$123),0))</f>
        <v/>
      </c>
      <c r="T152" s="47">
        <f>IF($L$128&gt;'Сроки и стоимость'!$D$33,0,IF('Сроки и стоимость'!$J$35&gt;G151,SUM($T$119:$T$123),0))</f>
        <v/>
      </c>
      <c r="U152" s="52">
        <f>SUM(P152:T152)</f>
        <v/>
      </c>
      <c r="V152" s="53">
        <f>U152*C152</f>
        <v/>
      </c>
    </row>
    <row r="153">
      <c r="M153" s="16" t="inlineStr">
        <is>
          <t>итого</t>
        </is>
      </c>
      <c r="N153" s="22">
        <f>SUM(N147:N152)</f>
        <v/>
      </c>
      <c r="U153" s="16" t="inlineStr">
        <is>
          <t>итого</t>
        </is>
      </c>
      <c r="V153" s="22">
        <f>SUM(V147:V152)</f>
        <v/>
      </c>
    </row>
    <row r="154" ht="15.75" customHeight="1" thickBot="1"/>
    <row r="155" ht="15.75" customHeight="1" thickBot="1">
      <c r="A155" s="54" t="inlineStr">
        <is>
          <t>великан, атлант, атлант-М</t>
        </is>
      </c>
      <c r="G155" s="16" t="inlineStr">
        <is>
          <t>шагов</t>
        </is>
      </c>
    </row>
    <row r="156">
      <c r="A156" s="18" t="inlineStr">
        <is>
          <t xml:space="preserve">длина до 5 шагов рам - </t>
        </is>
      </c>
      <c r="B156" s="19" t="n">
        <v>0</v>
      </c>
      <c r="C156" s="19" t="n"/>
      <c r="D156" s="20" t="n"/>
      <c r="E156" s="16">
        <f>$F$1*B156</f>
        <v/>
      </c>
      <c r="F156" s="16">
        <f>E156+$E$1</f>
        <v/>
      </c>
      <c r="G156" s="16" t="n">
        <v>5</v>
      </c>
      <c r="H156" s="16">
        <f>G156*'Сроки и стоимость'!$B$40</f>
        <v/>
      </c>
      <c r="I156" s="16">
        <f>IF('Сроки и стоимость'!$B$38&lt;='Атлант, Великан'!H156,'Атлант, Великан'!B156,0)</f>
        <v/>
      </c>
    </row>
    <row r="157">
      <c r="A157" s="21" t="inlineStr">
        <is>
          <t>длина от 5 шагов рам -</t>
        </is>
      </c>
      <c r="B157" s="16" t="n">
        <v>0.05</v>
      </c>
      <c r="C157" s="16" t="n">
        <v>0.02</v>
      </c>
      <c r="D157" s="22" t="inlineStr">
        <is>
          <t>за шаг без крана</t>
        </is>
      </c>
      <c r="E157" s="16">
        <f>$F$1*B157</f>
        <v/>
      </c>
      <c r="F157" s="16">
        <f>E157+$E$1</f>
        <v/>
      </c>
      <c r="G157" s="16" t="n">
        <v>5</v>
      </c>
      <c r="H157" s="16">
        <f>G157*'Сроки и стоимость'!$B$40</f>
        <v/>
      </c>
      <c r="I157" s="16">
        <f>IF('Сроки и стоимость'!$B$38&gt;'Атлант, Великан'!H157,IF(AND('Сроки и стоимость'!$AM$18=FALSE,'Сроки и стоимость'!$AM$20=FALSE),('Атлант, Великан'!B157+C157*('Сроки и стоимость'!D33-1))*_xlfn.CEILING.MATH(('Сроки и стоимость'!$B$38-'Атлант, Великан'!H157)/'Сроки и стоимость'!$B$40),('Сроки и стоимость'!$D$33-IF('Сроки и стоимость'!$AM$18=TRUE,'Сроки и стоимость'!$F$61,0)-IF('Сроки и стоимость'!$AM$20=TRUE,'Сроки и стоимость'!$F$66,0))*'Атлант, Великан'!B157*_xlfn.CEILING.MATH(('Сроки и стоимость'!$B$38-'Атлант, Великан'!H157)/'Сроки и стоимость'!$B$40)),0)</f>
        <v/>
      </c>
    </row>
    <row r="158">
      <c r="A158" s="21" t="inlineStr">
        <is>
          <t>длина от 5 шагов рам -</t>
        </is>
      </c>
      <c r="B158" s="16" t="n">
        <v>0.07000000000000001</v>
      </c>
      <c r="C158" s="16" t="n">
        <v>0.04</v>
      </c>
      <c r="D158" s="22" t="inlineStr">
        <is>
          <t>за шаг с краном в каждом пролете</t>
        </is>
      </c>
      <c r="E158" s="16">
        <f>$F$1*B158</f>
        <v/>
      </c>
      <c r="F158" s="16">
        <f>E158+$E$1</f>
        <v/>
      </c>
      <c r="G158" s="16" t="n">
        <v>5</v>
      </c>
      <c r="H158" s="16">
        <f>G158*'Сроки и стоимость'!$B$40</f>
        <v/>
      </c>
      <c r="I158" s="16">
        <f>IF('Сроки и стоимость'!$B$38&gt;'Атлант, Великан'!H158,IF(OR('Сроки и стоимость'!$AM$18=TRUE,'Сроки и стоимость'!$AM$20=TRUE),('Атлант, Великан'!B158+C158*('Сроки и стоимость'!D33-1))*_xlfn.CEILING.MATH(('Сроки и стоимость'!$B$38-'Атлант, Великан'!H158)/'Сроки и стоимость'!$B$40)*IF('Сроки и стоимость'!$AM$18=TRUE,'Сроки и стоимость'!$F$61,1)*IF('Сроки и стоимость'!$AM$20=TRUE,'Сроки и стоимость'!$F$66,1),0),0)</f>
        <v/>
      </c>
    </row>
    <row r="159">
      <c r="A159" s="21" t="n"/>
      <c r="D159" s="22" t="n"/>
      <c r="H159" s="16" t="inlineStr">
        <is>
          <t>итого</t>
        </is>
      </c>
      <c r="I159" s="16">
        <f>SUM(I156:I158)</f>
        <v/>
      </c>
    </row>
    <row r="160" ht="15.75" customHeight="1" thickBot="1">
      <c r="A160" s="23" t="inlineStr">
        <is>
          <t>разный шаг рам</t>
        </is>
      </c>
      <c r="B160" s="28" t="n">
        <v>0.2</v>
      </c>
      <c r="C160" s="28" t="n"/>
      <c r="D160" s="25" t="n"/>
    </row>
    <row r="161" ht="15.75" customHeight="1" thickBot="1"/>
    <row r="162" ht="15.75" customHeight="1" thickBot="1">
      <c r="A162" s="56" t="inlineStr">
        <is>
          <t>Еврокод</t>
        </is>
      </c>
      <c r="B162" s="12" t="n">
        <v>1.3</v>
      </c>
      <c r="C162" s="12" t="n"/>
      <c r="D162" s="57" t="inlineStr">
        <is>
          <t xml:space="preserve"> - перемножить итоговую стоимость каркаса</t>
        </is>
      </c>
      <c r="Y162" s="16" t="inlineStr">
        <is>
          <t>30% - усложнение узлов (расчет + моделирование + чертежи)</t>
        </is>
      </c>
    </row>
    <row r="163" ht="15.75" customHeight="1" thickBot="1"/>
    <row r="164">
      <c r="A164" s="58" t="inlineStr">
        <is>
          <t>сейсмика до 6 баллов -</t>
        </is>
      </c>
      <c r="B164" s="45" t="n">
        <v>0</v>
      </c>
      <c r="C164" s="45" t="n"/>
      <c r="D164" s="46" t="n"/>
      <c r="E164" s="16">
        <f>$F$1*B164</f>
        <v/>
      </c>
      <c r="F164" s="16">
        <f>E164+$E$1</f>
        <v/>
      </c>
      <c r="G164" s="16" t="n">
        <v>1</v>
      </c>
    </row>
    <row r="165">
      <c r="A165" s="59" t="inlineStr">
        <is>
          <t>сейсмика 7 баллов -</t>
        </is>
      </c>
      <c r="B165" s="17" t="n">
        <v>0</v>
      </c>
      <c r="C165" s="17" t="n"/>
      <c r="D165" s="40" t="n"/>
      <c r="E165" s="16">
        <f>$F$1*B165</f>
        <v/>
      </c>
      <c r="F165" s="16">
        <f>E165+$E$1</f>
        <v/>
      </c>
      <c r="G165" s="16" t="n">
        <v>2</v>
      </c>
      <c r="Y165" s="16" t="inlineStr">
        <is>
          <t>за усложненные вертикальные связи</t>
        </is>
      </c>
    </row>
    <row r="166">
      <c r="A166" s="59" t="inlineStr">
        <is>
          <t>сейсмика 8 баллов -</t>
        </is>
      </c>
      <c r="B166" s="17" t="n">
        <v>0.2</v>
      </c>
      <c r="C166" s="17" t="n"/>
      <c r="D166" s="40" t="n"/>
      <c r="E166" s="16">
        <f>$F$1*B166</f>
        <v/>
      </c>
      <c r="F166" s="16">
        <f>E166+$E$1</f>
        <v/>
      </c>
      <c r="G166" s="16" t="n">
        <v>3</v>
      </c>
      <c r="Y166" s="16" t="inlineStr">
        <is>
          <t>за доп вертикальные связи</t>
        </is>
      </c>
    </row>
    <row r="167" ht="15.75" customHeight="1" thickBot="1">
      <c r="A167" s="60" t="inlineStr">
        <is>
          <t>сейсмика 9 баллов -</t>
        </is>
      </c>
      <c r="B167" s="55" t="n">
        <v>0.4</v>
      </c>
      <c r="C167" s="55" t="n"/>
      <c r="D167" s="50" t="n"/>
      <c r="E167" s="16">
        <f>$F$1*B167</f>
        <v/>
      </c>
      <c r="F167" s="16">
        <f>E167+$E$1</f>
        <v/>
      </c>
      <c r="G167" s="16" t="n">
        <v>4</v>
      </c>
      <c r="Y167" s="16" t="inlineStr">
        <is>
          <t>за доп усложненные вертикальные связи</t>
        </is>
      </c>
    </row>
    <row r="168" ht="15.75" customHeight="1" thickBot="1"/>
    <row r="169" ht="15.75" customHeight="1" thickBot="1">
      <c r="A169" s="56" t="inlineStr">
        <is>
          <t>сейсмика -</t>
        </is>
      </c>
      <c r="B169" s="12" t="n">
        <v>1.05</v>
      </c>
      <c r="C169" s="12" t="n"/>
      <c r="D169" s="57" t="inlineStr">
        <is>
          <t xml:space="preserve"> - перемножить итоговую стоимость каркаса</t>
        </is>
      </c>
      <c r="E169" s="16">
        <f>$F$1*B169</f>
        <v/>
      </c>
      <c r="F169" s="16">
        <f>E169+$E$1</f>
        <v/>
      </c>
      <c r="Y169" s="16" t="inlineStr">
        <is>
          <t>за доп усложненные вертикальные и горизонтальные связи</t>
        </is>
      </c>
    </row>
    <row r="171">
      <c r="H171" s="16" t="n">
        <v>1</v>
      </c>
      <c r="I171" s="16" t="n">
        <v>2</v>
      </c>
      <c r="J171" s="16" t="n">
        <v>3</v>
      </c>
      <c r="K171" s="16" t="n">
        <v>4</v>
      </c>
      <c r="L171" s="16" t="n">
        <v>5</v>
      </c>
    </row>
    <row r="172">
      <c r="E172" s="16" t="inlineStr">
        <is>
          <t>многоскат</t>
        </is>
      </c>
      <c r="F172" s="16" t="inlineStr">
        <is>
          <t>высоты</t>
        </is>
      </c>
      <c r="G172" s="16" t="inlineStr">
        <is>
          <t>торцы</t>
        </is>
      </c>
      <c r="H172" s="16">
        <f>IF(H171&lt;='Сроки и стоимость'!$D$33,CHOOSE('Сроки и стоимость'!$AM$7,0.27,0.1,0.1,0.1,0.1,0.1)*H127/2,0)</f>
        <v/>
      </c>
      <c r="I172" s="16">
        <f>IF(I171&lt;='Сроки и стоимость'!$D$33,CHOOSE('Сроки и стоимость'!$AM$7,0.27,0.1,0.1,0.1,0.1,0.1)*I127/2,0)</f>
        <v/>
      </c>
      <c r="J172" s="16">
        <f>IF(J171&lt;='Сроки и стоимость'!$D$33,CHOOSE('Сроки и стоимость'!$AM$7,0.27,0.1,0.1,0.1,0.1,0.1)*J127/2,0)</f>
        <v/>
      </c>
      <c r="K172" s="16">
        <f>IF(K171&lt;='Сроки и стоимость'!$D$33,CHOOSE('Сроки и стоимость'!$AM$7,0.27,0.1,0.1,0.1,0.1,0.1)*K127/2,0)</f>
        <v/>
      </c>
      <c r="L172" s="16">
        <f>IF(L171&lt;='Сроки и стоимость'!$D$33,CHOOSE('Сроки и стоимость'!$AM$7,0.27,0.1,0.1,0.1,0.1,0.1)*L127/2,0)</f>
        <v/>
      </c>
    </row>
    <row r="173">
      <c r="G173" s="16" t="inlineStr">
        <is>
          <t>продольные</t>
        </is>
      </c>
      <c r="H173" s="16">
        <f>IF(H171&lt;='Сроки и стоимость'!$D$33,CHOOSE('Сроки и стоимость'!$AM$7,0.5,1.5,1.5,0.5,1.5,1.5),0)</f>
        <v/>
      </c>
      <c r="I173" s="16">
        <f>IF(I171&lt;='Сроки и стоимость'!$D$33,CHOOSE('Сроки и стоимость'!$AM$7,0.5,1.5,1.5,0.5,1.5,1.5),0)</f>
        <v/>
      </c>
      <c r="J173" s="16">
        <f>IF(J171&lt;='Сроки и стоимость'!$D$33,CHOOSE('Сроки и стоимость'!$AM$7,0.5,1.5,1.5,0.5,1.5,1.5),0)</f>
        <v/>
      </c>
      <c r="K173" s="16">
        <f>IF(K171&lt;='Сроки и стоимость'!$D$33,CHOOSE('Сроки и стоимость'!$AM$7,0.5,1.5,1.5,0.5,1.5,1.5),0)</f>
        <v/>
      </c>
      <c r="L173" s="16">
        <f>IF(L171&lt;='Сроки и стоимость'!$D$33,CHOOSE('Сроки и стоимость'!$AM$7,0.5,1.5,1.5,0.5,1.5,1.5),0)</f>
        <v/>
      </c>
    </row>
    <row r="174">
      <c r="F174" s="16" t="inlineStr">
        <is>
          <t>площадь</t>
        </is>
      </c>
      <c r="G174" s="16" t="inlineStr">
        <is>
          <t>торцы</t>
        </is>
      </c>
      <c r="H174" s="16">
        <f>2*(('Сроки и стоимость'!$F$43+'Атлант, Великан'!H173)*'Атлант, Великан'!H127+0.5*'Атлант, Великан'!H127*'Атлант, Великан'!H172)</f>
        <v/>
      </c>
      <c r="I174" s="16">
        <f>2*(('Сроки и стоимость'!$F$43+'Атлант, Великан'!I173)*'Атлант, Великан'!I127+0.5*'Атлант, Великан'!I127*'Атлант, Великан'!I172)</f>
        <v/>
      </c>
      <c r="J174" s="16">
        <f>2*(('Сроки и стоимость'!$F$43+'Атлант, Великан'!J173)*'Атлант, Великан'!J127+0.5*'Атлант, Великан'!J127*'Атлант, Великан'!J172)</f>
        <v/>
      </c>
      <c r="K174" s="16">
        <f>2*(('Сроки и стоимость'!$F$43+'Атлант, Великан'!K173)*'Атлант, Великан'!K127+0.5*'Атлант, Великан'!K127*'Атлант, Великан'!K172)</f>
        <v/>
      </c>
      <c r="L174" s="16">
        <f>2*(('Сроки и стоимость'!$F$43+'Атлант, Великан'!L173)*'Атлант, Великан'!L127+0.5*'Атлант, Великан'!L127*'Атлант, Великан'!L172)</f>
        <v/>
      </c>
      <c r="M174" s="16">
        <f>SUM(H174:L174)</f>
        <v/>
      </c>
    </row>
    <row r="175">
      <c r="G175" s="16" t="inlineStr">
        <is>
          <t>продольные</t>
        </is>
      </c>
      <c r="H175" s="16">
        <f>2*('Сроки и стоимость'!$F$43+'Атлант, Великан'!H173)*'Сроки и стоимость'!$B$38</f>
        <v/>
      </c>
      <c r="N175" s="16">
        <f>IF('Сроки и стоимость'!$AM$11=4,SUM(H175,M174),0)</f>
        <v/>
      </c>
    </row>
    <row r="176">
      <c r="E176" s="16" t="inlineStr">
        <is>
          <t>обычные</t>
        </is>
      </c>
      <c r="F176" s="16" t="inlineStr">
        <is>
          <t>высоты</t>
        </is>
      </c>
      <c r="G176" s="16" t="inlineStr">
        <is>
          <t>торцы</t>
        </is>
      </c>
      <c r="H176" s="16">
        <f>CHOOSE('Сроки и стоимость'!$AM$7,0.27,0.1,0.1,0.1,0.1,0.1)*CHOOSE('Сроки и стоимость'!$AM$11,'Атлант, Великан'!M127,'Атлант, Великан'!M127/2,0)</f>
        <v/>
      </c>
    </row>
    <row r="177">
      <c r="G177" s="16" t="inlineStr">
        <is>
          <t>продольные</t>
        </is>
      </c>
      <c r="H177" s="16">
        <f>CHOOSE('Сроки и стоимость'!$AM$7,0.5,1.5,1.5,0.5,1.5,1.5)</f>
        <v/>
      </c>
    </row>
    <row r="178">
      <c r="F178" s="16" t="inlineStr">
        <is>
          <t>площадь</t>
        </is>
      </c>
      <c r="G178" s="16" t="inlineStr">
        <is>
          <t>торцы</t>
        </is>
      </c>
      <c r="H178" s="16">
        <f>2*(('Сроки и стоимость'!$F$43+'Атлант, Великан'!H177)*'Атлант, Великан'!M127+0.5*'Атлант, Великан'!H176*'Атлант, Великан'!M127)</f>
        <v/>
      </c>
    </row>
    <row r="179">
      <c r="G179" s="16" t="inlineStr">
        <is>
          <t>продольные</t>
        </is>
      </c>
      <c r="H179" s="16">
        <f>2*('Сроки и стоимость'!$F$43+'Атлант, Великан'!H173)*'Сроки и стоимость'!$B$38</f>
        <v/>
      </c>
      <c r="N179" s="16">
        <f>IF('Сроки и стоимость'!$AM$11=4,0,SUM('Атлант, Великан'!H178:H179))</f>
        <v/>
      </c>
    </row>
    <row r="182" ht="15.75" customHeight="1" thickBot="1">
      <c r="G182" s="16" t="inlineStr">
        <is>
          <t>площадь</t>
        </is>
      </c>
      <c r="H182" s="16" t="inlineStr">
        <is>
          <t>толщина</t>
        </is>
      </c>
      <c r="I182" s="16" t="n">
        <v>1</v>
      </c>
      <c r="J182" s="16" t="n">
        <v>2</v>
      </c>
      <c r="K182" s="16" t="n">
        <v>3</v>
      </c>
      <c r="N182" s="16" t="inlineStr">
        <is>
          <t>предел</t>
        </is>
      </c>
      <c r="O182" s="16" t="inlineStr">
        <is>
          <t>шаг</t>
        </is>
      </c>
      <c r="P182" s="16" t="inlineStr">
        <is>
          <t>кол-во</t>
        </is>
      </c>
      <c r="Q182" s="16" t="n">
        <v>1</v>
      </c>
      <c r="R182" s="16" t="n">
        <v>2</v>
      </c>
      <c r="S182" s="16" t="n">
        <v>3</v>
      </c>
      <c r="T182" s="16" t="n">
        <v>4</v>
      </c>
    </row>
    <row r="183">
      <c r="A183" s="58" t="inlineStr">
        <is>
          <t xml:space="preserve">ограждение стен - СП горизонтально (сейсмика до 6 баллов) - </t>
        </is>
      </c>
      <c r="B183" s="45" t="n">
        <v>0.15</v>
      </c>
      <c r="C183" s="45" t="n"/>
      <c r="D183" s="46" t="n"/>
      <c r="E183" s="16">
        <f>$F$1*B183</f>
        <v/>
      </c>
      <c r="F183" s="16">
        <f>E183+$E$1</f>
        <v/>
      </c>
      <c r="G183" s="16">
        <f>MAX(N175,N179)</f>
        <v/>
      </c>
      <c r="H183" s="16">
        <f>CHOOSE('Сроки и стоимость'!$AM$37,'Атлант, Великан'!Q183,'Атлант, Великан'!R183,'Атлант, Великан'!S183,'Атлант, Великан'!T183)</f>
        <v/>
      </c>
      <c r="I183" s="16">
        <f>IF('Сроки и стоимость'!$AM$36='Атлант, Великан'!I$182,IF('Сроки и стоимость'!$AM$63=2,'Атлант, Великан'!B198+IF(G183&lt;=G201,0,B201*_xlfn.CEILING.MATH((G183-G201)/H201)),'Атлант, Великан'!B199+IF(G183&lt;=G201,0,B202*_xlfn.CEILING.MATH((G183-G201)/H201))),0)</f>
        <v/>
      </c>
      <c r="J183" s="16">
        <f>IF('Сроки и стоимость'!$AM$36='Атлант, Великан'!J$182,INDEX(Q185:T185,1,MATCH(H183,Q183:T183,0))+IF(G183&lt;=G212,0,INDEX(Q186:T186,1,MATCH(H183,Q183:T183,0))*_xlfn.CEILING.MATH((G183-G212)/H212)),0)</f>
        <v/>
      </c>
      <c r="K183" s="16">
        <f>IF('Сроки и стоимость'!$AM$36='Атлант, Великан'!K$182,IF('Сроки и стоимость'!$AM$6&lt;=1,CHOOSE('Сроки и стоимость'!$AM$69,'Атлант, Великан'!B183+P183*B187,'Атлант, Великан'!B184+B188*P183),B185+P183*B189),0)</f>
        <v/>
      </c>
      <c r="L183" s="16">
        <f>SUM(I183:K183)</f>
        <v/>
      </c>
      <c r="N183" s="16" t="n">
        <v>300</v>
      </c>
      <c r="O183" s="16" t="n">
        <v>10</v>
      </c>
      <c r="P183" s="16">
        <f>MAX(0,_xlfn.CEILING.MATH((G183-N183)/O183))</f>
        <v/>
      </c>
      <c r="Q183" s="16" t="n">
        <v>100</v>
      </c>
      <c r="R183" s="16" t="n">
        <v>150</v>
      </c>
      <c r="S183" s="16" t="n">
        <v>200</v>
      </c>
      <c r="T183" s="16" t="n">
        <v>250</v>
      </c>
    </row>
    <row r="184">
      <c r="A184" s="59" t="inlineStr">
        <is>
          <t xml:space="preserve">ограждение стен - СП вертикально (сейсмика до 6 баллов) - </t>
        </is>
      </c>
      <c r="B184" s="17" t="n">
        <v>0.4</v>
      </c>
      <c r="C184" s="17" t="n"/>
      <c r="D184" s="40" t="n"/>
      <c r="E184" s="16">
        <f>$F$1*B184</f>
        <v/>
      </c>
      <c r="F184" s="16">
        <f>E184+$E$1</f>
        <v/>
      </c>
    </row>
    <row r="185">
      <c r="A185" s="59" t="inlineStr">
        <is>
          <t xml:space="preserve">ограждение стен - СП вертикально (сейсмика более 7 баллов) - </t>
        </is>
      </c>
      <c r="B185" s="17" t="n">
        <v>0.5</v>
      </c>
      <c r="C185" s="17" t="n"/>
      <c r="D185" s="40" t="n"/>
      <c r="E185" s="16">
        <f>$F$1*B185</f>
        <v/>
      </c>
      <c r="F185" s="16">
        <f>E185+$E$1</f>
        <v/>
      </c>
      <c r="Q185" s="16">
        <f>B210</f>
        <v/>
      </c>
      <c r="R185" s="16">
        <f>B209</f>
        <v/>
      </c>
      <c r="S185" s="16">
        <f>B208</f>
        <v/>
      </c>
      <c r="T185" s="16">
        <f>B208</f>
        <v/>
      </c>
    </row>
    <row r="186">
      <c r="A186" s="59" t="n"/>
      <c r="B186" s="17" t="n"/>
      <c r="C186" s="17" t="n"/>
      <c r="D186" s="40" t="n"/>
      <c r="Q186" s="16">
        <f>B214</f>
        <v/>
      </c>
      <c r="R186" s="16">
        <f>B213</f>
        <v/>
      </c>
      <c r="S186" s="16">
        <f>B212</f>
        <v/>
      </c>
      <c r="T186" s="16">
        <f>B212</f>
        <v/>
      </c>
    </row>
    <row r="187">
      <c r="A187" s="59" t="inlineStr">
        <is>
          <t>СП горизонтально (сейсмика до 6 баллов) площадь стен от 300 м2 -</t>
        </is>
      </c>
      <c r="B187" s="17" t="n">
        <v>0.001</v>
      </c>
      <c r="C187" s="17" t="n"/>
      <c r="D187" s="40" t="inlineStr">
        <is>
          <t>за каждые 10 м2</t>
        </is>
      </c>
      <c r="E187" s="16">
        <f>$F$1*B187</f>
        <v/>
      </c>
      <c r="F187" s="16">
        <f>E187+$E$1</f>
        <v/>
      </c>
    </row>
    <row r="188">
      <c r="A188" s="59" t="inlineStr">
        <is>
          <t xml:space="preserve">СП вертикально (сейсмика до 6 баллов) площадь стен от 300 м2 - </t>
        </is>
      </c>
      <c r="B188" s="17" t="n">
        <v>0.003</v>
      </c>
      <c r="C188" s="17" t="n"/>
      <c r="D188" s="40" t="inlineStr">
        <is>
          <t>за каждые 10 м2</t>
        </is>
      </c>
      <c r="E188" s="16">
        <f>$F$1*B188</f>
        <v/>
      </c>
      <c r="F188" s="16">
        <f>E188+$E$1</f>
        <v/>
      </c>
    </row>
    <row r="189">
      <c r="A189" s="59" t="inlineStr">
        <is>
          <t xml:space="preserve">СП вертикально (сейсмика более 7 баллов) площадь стен от 300 м2 - </t>
        </is>
      </c>
      <c r="B189" s="17" t="n">
        <v>0.0045</v>
      </c>
      <c r="C189" s="17" t="n"/>
      <c r="D189" s="40" t="inlineStr">
        <is>
          <t>за каждые 10 м2</t>
        </is>
      </c>
      <c r="E189" s="16">
        <f>$F$1*B189</f>
        <v/>
      </c>
      <c r="F189" s="16">
        <f>E189+$E$1</f>
        <v/>
      </c>
    </row>
    <row r="190">
      <c r="A190" s="59" t="n"/>
      <c r="B190" s="17" t="n"/>
      <c r="C190" s="17" t="n"/>
      <c r="D190" s="40" t="n"/>
    </row>
    <row r="191">
      <c r="A191" s="59" t="inlineStr">
        <is>
          <t xml:space="preserve">окна - </t>
        </is>
      </c>
      <c r="B191" s="17" t="n">
        <v>0.02</v>
      </c>
      <c r="C191" s="17" t="n"/>
      <c r="D191" s="40" t="inlineStr">
        <is>
          <t>за 1 шт</t>
        </is>
      </c>
      <c r="E191" s="16">
        <f>$F$1*B191</f>
        <v/>
      </c>
      <c r="F191" s="16">
        <f>E191+$E$1</f>
        <v/>
      </c>
      <c r="I191" s="16">
        <f>IF('Сроки и стоимость'!AM38=TRUE,IF('Сроки и стоимость'!$AM$36='Атлант, Великан'!I$182,B204*'Сроки и стоимость'!$W$51,0),0)</f>
        <v/>
      </c>
      <c r="J191" s="16">
        <f>IF('Сроки и стоимость'!AM38=TRUE,IF('Сроки и стоимость'!$AM$36='Атлант, Великан'!J$182,B216*'Сроки и стоимость'!$W$51,0),0)</f>
        <v/>
      </c>
      <c r="K191" s="16">
        <f>IF('Сроки и стоимость'!AM38=TRUE,IF('Сроки и стоимость'!$AM$36='Атлант, Великан'!K$182,B191*'Сроки и стоимость'!$W$51+(MIN('Сроки и стоимость'!$W$53,'Сроки и стоимость'!$W$51)-1)*'Атлант, Великан'!B192,0),0)</f>
        <v/>
      </c>
      <c r="L191" s="16">
        <f>SUM(I191:K191)</f>
        <v/>
      </c>
    </row>
    <row r="192">
      <c r="A192" s="59" t="inlineStr">
        <is>
          <t xml:space="preserve">окна, кол-во типов размеров - </t>
        </is>
      </c>
      <c r="B192" s="17" t="n">
        <v>0.04</v>
      </c>
      <c r="C192" s="17" t="n"/>
      <c r="D192" s="40" t="inlineStr">
        <is>
          <t>за каждый тип после 1</t>
        </is>
      </c>
      <c r="E192" s="16">
        <f>$F$1*B192</f>
        <v/>
      </c>
      <c r="F192" s="16">
        <f>E192+$E$1</f>
        <v/>
      </c>
      <c r="Y192" s="16" t="inlineStr">
        <is>
          <t>за доп марки колонн</t>
        </is>
      </c>
    </row>
    <row r="193">
      <c r="A193" s="59" t="n"/>
      <c r="B193" s="17" t="n"/>
      <c r="C193" s="17" t="n"/>
      <c r="D193" s="40" t="n"/>
    </row>
    <row r="194">
      <c r="A194" s="59" t="inlineStr">
        <is>
          <t xml:space="preserve">двери - </t>
        </is>
      </c>
      <c r="B194" s="17" t="n">
        <v>0.02</v>
      </c>
      <c r="C194" s="17" t="n"/>
      <c r="D194" s="40" t="inlineStr">
        <is>
          <t>за 1 шт</t>
        </is>
      </c>
      <c r="E194" s="16">
        <f>$F$1*B194</f>
        <v/>
      </c>
      <c r="F194" s="16">
        <f>E194+$E$1</f>
        <v/>
      </c>
      <c r="I194" s="16">
        <f>IF('Сроки и стоимость'!$AM$41=TRUE,IF('Сроки и стоимость'!$AM$36='Атлант, Великан'!I$182,B206*'Сроки и стоимость'!$W$61,0),0)</f>
        <v/>
      </c>
      <c r="J194" s="16">
        <f>IF('Сроки и стоимость'!$AM$41=TRUE,IF('Сроки и стоимость'!$AM$36='Атлант, Великан'!J$182,B218*'Сроки и стоимость'!$W$61,0),0)</f>
        <v/>
      </c>
      <c r="K194" s="16">
        <f>IF('Сроки и стоимость'!$AM$41=TRUE,IF('Сроки и стоимость'!$AM$36='Атлант, Великан'!K$182,'Атлант, Великан'!B194*'Сроки и стоимость'!W61+(MIN('Сроки и стоимость'!$W$61,'Сроки и стоимость'!$W$63)-1)*'Атлант, Великан'!B195,0),0)</f>
        <v/>
      </c>
      <c r="L194" s="16">
        <f>SUM(I194:K194)</f>
        <v/>
      </c>
    </row>
    <row r="195" ht="15.75" customHeight="1" thickBot="1">
      <c r="A195" s="60" t="inlineStr">
        <is>
          <t xml:space="preserve">двери, кол-во типов размеров - </t>
        </is>
      </c>
      <c r="B195" s="55" t="n">
        <v>0.04</v>
      </c>
      <c r="C195" s="55" t="n"/>
      <c r="D195" s="50" t="inlineStr">
        <is>
          <t>за каждый тип после 1</t>
        </is>
      </c>
      <c r="E195" s="16">
        <f>$F$1*B195</f>
        <v/>
      </c>
      <c r="F195" s="16">
        <f>E195+$E$1</f>
        <v/>
      </c>
      <c r="Y195" s="16" t="inlineStr">
        <is>
          <t>за доп марки колонн</t>
        </is>
      </c>
    </row>
    <row r="197" ht="15.75" customHeight="1" thickBot="1"/>
    <row r="198">
      <c r="A198" s="58" t="inlineStr">
        <is>
          <t xml:space="preserve">ограждение стен - профлист (V степень огнестойкости) - </t>
        </is>
      </c>
      <c r="B198" s="45" t="n">
        <v>0.4</v>
      </c>
      <c r="C198" s="45" t="n"/>
      <c r="D198" s="46" t="n"/>
      <c r="E198" s="16">
        <f>$F$1*B198</f>
        <v/>
      </c>
      <c r="F198" s="16">
        <f>E198+$E$1</f>
        <v/>
      </c>
    </row>
    <row r="199">
      <c r="A199" s="17" t="inlineStr">
        <is>
          <t xml:space="preserve">ограждение стен - профлист (IV, III, II степень огнестойкости) - </t>
        </is>
      </c>
      <c r="B199" s="17" t="n">
        <v>0.5</v>
      </c>
      <c r="C199" s="17" t="n"/>
      <c r="D199" s="40" t="n"/>
      <c r="E199" s="16">
        <f>$F$1*B199</f>
        <v/>
      </c>
      <c r="F199" s="16">
        <f>E199+$E$1</f>
        <v/>
      </c>
      <c r="Y199" s="16" t="inlineStr">
        <is>
          <t>за черные ригели</t>
        </is>
      </c>
    </row>
    <row r="200">
      <c r="A200" s="59" t="n"/>
      <c r="B200" s="17" t="n"/>
      <c r="C200" s="17" t="n"/>
      <c r="D200" s="40" t="n"/>
    </row>
    <row r="201">
      <c r="A201" s="59" t="inlineStr">
        <is>
          <t>(V степень огнестойкости) площадь стен от 300 м2 -</t>
        </is>
      </c>
      <c r="B201" s="17" t="n">
        <v>0.003</v>
      </c>
      <c r="C201" s="17" t="n"/>
      <c r="D201" s="40" t="inlineStr">
        <is>
          <t>за каждые 10 м2</t>
        </is>
      </c>
      <c r="E201" s="16">
        <f>$F$1*B201</f>
        <v/>
      </c>
      <c r="F201" s="16">
        <f>E201+$E$1</f>
        <v/>
      </c>
      <c r="G201" s="16" t="n">
        <v>300</v>
      </c>
      <c r="H201" s="16" t="n">
        <v>10</v>
      </c>
    </row>
    <row r="202">
      <c r="A202" s="59" t="inlineStr">
        <is>
          <t>(IV, III, II степень огнестойкости) площадь стен от 300 м2 -</t>
        </is>
      </c>
      <c r="B202" s="17" t="n">
        <v>0.004</v>
      </c>
      <c r="C202" s="17" t="n"/>
      <c r="D202" s="40" t="inlineStr">
        <is>
          <t>за каждые 10 м2</t>
        </is>
      </c>
      <c r="E202" s="16">
        <f>$F$1*B202</f>
        <v/>
      </c>
      <c r="F202" s="16">
        <f>E202+$E$1</f>
        <v/>
      </c>
    </row>
    <row r="203">
      <c r="A203" s="59" t="n"/>
      <c r="B203" s="17" t="n"/>
      <c r="C203" s="17" t="n"/>
      <c r="D203" s="40" t="n"/>
    </row>
    <row r="204">
      <c r="A204" s="59" t="inlineStr">
        <is>
          <t xml:space="preserve">окна - </t>
        </is>
      </c>
      <c r="B204" s="17" t="n">
        <v>0.03</v>
      </c>
      <c r="C204" s="17" t="n"/>
      <c r="D204" s="40" t="inlineStr">
        <is>
          <t>за 1 шт</t>
        </is>
      </c>
      <c r="E204" s="16">
        <f>$F$1*B204</f>
        <v/>
      </c>
      <c r="F204" s="16">
        <f>E204+$E$1</f>
        <v/>
      </c>
    </row>
    <row r="205">
      <c r="A205" s="59" t="n"/>
      <c r="B205" s="17" t="n"/>
      <c r="C205" s="17" t="n"/>
      <c r="D205" s="40" t="n"/>
    </row>
    <row r="206" ht="15.75" customHeight="1" thickBot="1">
      <c r="A206" s="60" t="inlineStr">
        <is>
          <t xml:space="preserve">двери - </t>
        </is>
      </c>
      <c r="B206" s="55" t="n">
        <v>0.04</v>
      </c>
      <c r="C206" s="55" t="n"/>
      <c r="D206" s="50" t="inlineStr">
        <is>
          <t>за 1 шт</t>
        </is>
      </c>
      <c r="E206" s="16">
        <f>$F$1*B206</f>
        <v/>
      </c>
      <c r="F206" s="16">
        <f>E206+$E$1</f>
        <v/>
      </c>
    </row>
    <row r="207" ht="15.75" customHeight="1" thickBot="1"/>
    <row r="208">
      <c r="A208" s="58" t="inlineStr">
        <is>
          <t xml:space="preserve">ограждение стен - СП послойной сборки, утепление 200(250) мм - </t>
        </is>
      </c>
      <c r="B208" s="45" t="n">
        <v>0.4</v>
      </c>
      <c r="C208" s="45" t="n"/>
      <c r="D208" s="46" t="n"/>
      <c r="E208" s="16">
        <f>$F$1*B208</f>
        <v/>
      </c>
      <c r="F208" s="16">
        <f>E208+$E$1</f>
        <v/>
      </c>
    </row>
    <row r="209">
      <c r="A209" s="59" t="inlineStr">
        <is>
          <t xml:space="preserve">ограждение стен - СП послойной сборки, утепление 150 мм - </t>
        </is>
      </c>
      <c r="B209" s="17" t="n">
        <v>0.5</v>
      </c>
      <c r="C209" s="17" t="n"/>
      <c r="D209" s="40" t="n"/>
      <c r="E209" s="16">
        <f>$F$1*B209</f>
        <v/>
      </c>
      <c r="F209" s="16">
        <f>E209+$E$1</f>
        <v/>
      </c>
      <c r="Y209" s="16" t="inlineStr">
        <is>
          <t>за 1 ветровую стойку</t>
        </is>
      </c>
    </row>
    <row r="210">
      <c r="A210" s="59" t="inlineStr">
        <is>
          <t xml:space="preserve">ограждение стен - СП послойной сборки, утепление 100 мм - </t>
        </is>
      </c>
      <c r="B210" s="17" t="n">
        <v>0.6</v>
      </c>
      <c r="C210" s="17" t="n"/>
      <c r="D210" s="40" t="n"/>
      <c r="E210" s="16">
        <f>$F$1*B210</f>
        <v/>
      </c>
      <c r="F210" s="16">
        <f>E210+$E$1</f>
        <v/>
      </c>
      <c r="Y210" s="16" t="inlineStr">
        <is>
          <t>за 2 ветровые стойки</t>
        </is>
      </c>
    </row>
    <row r="211">
      <c r="A211" s="59" t="n"/>
      <c r="B211" s="17" t="n"/>
      <c r="C211" s="17" t="n"/>
      <c r="D211" s="40" t="n"/>
    </row>
    <row r="212">
      <c r="A212" s="59" t="inlineStr">
        <is>
          <t>(утепление 200(250)мм площадь стен от 300 м2 -</t>
        </is>
      </c>
      <c r="B212" s="17" t="n">
        <v>0.003</v>
      </c>
      <c r="C212" s="17" t="n"/>
      <c r="D212" s="40" t="inlineStr">
        <is>
          <t>за каждые 10 м2</t>
        </is>
      </c>
      <c r="E212" s="16">
        <f>$F$1*B212</f>
        <v/>
      </c>
      <c r="F212" s="16">
        <f>E212+$E$1</f>
        <v/>
      </c>
      <c r="G212" s="16" t="n">
        <v>300</v>
      </c>
      <c r="H212" s="16" t="n">
        <v>10</v>
      </c>
    </row>
    <row r="213">
      <c r="A213" s="59" t="inlineStr">
        <is>
          <t>(утепление 150 мм) площадь стен от 300 м2 -</t>
        </is>
      </c>
      <c r="B213" s="17" t="n">
        <v>0.0045</v>
      </c>
      <c r="C213" s="17" t="n"/>
      <c r="D213" s="40" t="inlineStr">
        <is>
          <t>за каждые 10 м2</t>
        </is>
      </c>
      <c r="E213" s="16">
        <f>$F$1*B213</f>
        <v/>
      </c>
      <c r="F213" s="16">
        <f>E213+$E$1</f>
        <v/>
      </c>
    </row>
    <row r="214">
      <c r="A214" s="59" t="inlineStr">
        <is>
          <t>(утепление 100 мм) площадь стен от 300 м2 -</t>
        </is>
      </c>
      <c r="B214" s="17" t="n">
        <v>0.006</v>
      </c>
      <c r="C214" s="17" t="n"/>
      <c r="D214" s="40" t="inlineStr">
        <is>
          <t>за каждые 10 м2</t>
        </is>
      </c>
      <c r="E214" s="16">
        <f>$F$1*B214</f>
        <v/>
      </c>
      <c r="F214" s="16">
        <f>E214+$E$1</f>
        <v/>
      </c>
    </row>
    <row r="215">
      <c r="A215" s="59" t="n"/>
      <c r="B215" s="17" t="n"/>
      <c r="C215" s="17" t="n"/>
      <c r="D215" s="40" t="n"/>
    </row>
    <row r="216">
      <c r="A216" s="59" t="inlineStr">
        <is>
          <t xml:space="preserve">окна - </t>
        </is>
      </c>
      <c r="B216" s="17" t="n">
        <v>0.02</v>
      </c>
      <c r="C216" s="17" t="n"/>
      <c r="D216" s="40" t="inlineStr">
        <is>
          <t>за 1 шт</t>
        </is>
      </c>
      <c r="E216" s="16">
        <f>$F$1*B216</f>
        <v/>
      </c>
      <c r="F216" s="16">
        <f>E216+$E$1</f>
        <v/>
      </c>
    </row>
    <row r="217">
      <c r="A217" s="59" t="n"/>
      <c r="B217" s="17" t="n"/>
      <c r="C217" s="17" t="n"/>
      <c r="D217" s="40" t="n"/>
    </row>
    <row r="218" ht="15.75" customHeight="1" thickBot="1">
      <c r="A218" s="60" t="inlineStr">
        <is>
          <t xml:space="preserve">двери - </t>
        </is>
      </c>
      <c r="B218" s="55" t="n">
        <v>0.025</v>
      </c>
      <c r="C218" s="55" t="n"/>
      <c r="D218" s="50" t="inlineStr">
        <is>
          <t>за 1 шт</t>
        </is>
      </c>
      <c r="E218" s="16">
        <f>$F$1*B218</f>
        <v/>
      </c>
      <c r="F218" s="16">
        <f>E218+$E$1</f>
        <v/>
      </c>
    </row>
    <row r="219" ht="15.75" customHeight="1" thickBot="1"/>
    <row r="220">
      <c r="A220" s="58" t="inlineStr">
        <is>
          <t>ворота -</t>
        </is>
      </c>
      <c r="B220" s="45" t="n">
        <v>0.05</v>
      </c>
      <c r="C220" s="45" t="n"/>
      <c r="D220" s="46" t="inlineStr">
        <is>
          <t>за 1 шт</t>
        </is>
      </c>
      <c r="E220" s="16">
        <f>$F$1*B220</f>
        <v/>
      </c>
      <c r="F220" s="16">
        <f>E220+$E$1</f>
        <v/>
      </c>
      <c r="H220" s="16">
        <f>IF('Сроки и стоимость'!$AM$40=TRUE,'Атлант, Великан'!B220+('Сроки и стоимость'!$W$56-1)*B220+(MIN('Сроки и стоимость'!$W$56,'Сроки и стоимость'!$W$58)-1)*'Атлант, Великан'!B221,0)</f>
        <v/>
      </c>
    </row>
    <row r="221" ht="15.75" customHeight="1" thickBot="1">
      <c r="A221" s="60" t="inlineStr">
        <is>
          <t xml:space="preserve">ворота, кол-во типов размеров - </t>
        </is>
      </c>
      <c r="B221" s="55" t="n">
        <v>0.05</v>
      </c>
      <c r="C221" s="55" t="n"/>
      <c r="D221" s="50" t="inlineStr">
        <is>
          <t>за 1 шт после 1</t>
        </is>
      </c>
      <c r="E221" s="16">
        <f>$F$1*B221</f>
        <v/>
      </c>
      <c r="F221" s="16">
        <f>E221+$E$1</f>
        <v/>
      </c>
    </row>
    <row r="223" ht="15.75" customHeight="1" thickBot="1">
      <c r="H223" s="16" t="n">
        <v>3</v>
      </c>
      <c r="I223" s="16" t="n">
        <v>1</v>
      </c>
      <c r="J223" s="16" t="n">
        <v>2</v>
      </c>
    </row>
    <row r="224">
      <c r="A224" s="58" t="inlineStr">
        <is>
          <t>парапет (с выносом) по длинной стороне (длина до 30 м) -</t>
        </is>
      </c>
      <c r="B224" s="45" t="n">
        <v>0.4</v>
      </c>
      <c r="C224" s="45" t="n"/>
      <c r="D224" s="46" t="n"/>
      <c r="E224" s="16">
        <f>$F$1*B224</f>
        <v/>
      </c>
      <c r="F224" s="16">
        <f>E224+$E$1</f>
        <v/>
      </c>
      <c r="G224" s="16" t="n">
        <v>30</v>
      </c>
      <c r="H224" s="16" t="n">
        <v>0</v>
      </c>
      <c r="I224" s="16">
        <f>IF('Сроки и стоимость'!$AM$59='Атлант, Великан'!I223,IF('Сроки и стоимость'!AM61=TRUE,IF('Сроки и стоимость'!$B$38&lt;='Атлант, Великан'!G224,'Атлант, Великан'!B224,B224+B228*_xlfn.CEILING.MATH(('Сроки и стоимость'!$B$38-'Атлант, Великан'!G224)/'Атлант, Великан'!G228)),0),0)</f>
        <v/>
      </c>
      <c r="J224" s="16">
        <f>IF('Сроки и стоимость'!$AM$59='Атлант, Великан'!J223,IF('Сроки и стоимость'!AM61=TRUE,IF(2*'Сроки и стоимость'!$B$38&lt;='Атлант, Великан'!G224,'Атлант, Великан'!B224,B224+B228*_xlfn.CEILING.MATH((2*'Сроки и стоимость'!$B$38-'Атлант, Великан'!G224)/'Атлант, Великан'!G228)),0),0)</f>
        <v/>
      </c>
    </row>
    <row r="225">
      <c r="A225" s="59" t="inlineStr">
        <is>
          <t>парапет (без выноса) по длинной стороне (длина до 30 м) -</t>
        </is>
      </c>
      <c r="B225" s="17" t="n">
        <v>0.3</v>
      </c>
      <c r="C225" s="17" t="n"/>
      <c r="D225" s="40" t="n"/>
      <c r="E225" s="16">
        <f>$F$1*B225</f>
        <v/>
      </c>
      <c r="F225" s="16">
        <f>E225+$E$1</f>
        <v/>
      </c>
      <c r="G225" s="16" t="n">
        <v>30</v>
      </c>
      <c r="H225" s="16" t="n">
        <v>0</v>
      </c>
      <c r="I225" s="16">
        <f>IF('Сроки и стоимость'!$AM$59='Атлант, Великан'!I223,IF('Сроки и стоимость'!AM61=FALSE,IF('Сроки и стоимость'!$B$38&lt;='Атлант, Великан'!G225,'Атлант, Великан'!B225,B225+B228*_xlfn.CEILING.MATH(('Сроки и стоимость'!$B$38-'Атлант, Великан'!G225)/'Атлант, Великан'!G228)),0),0)</f>
        <v/>
      </c>
      <c r="J225" s="16">
        <f>IF('Сроки и стоимость'!$AM$59='Атлант, Великан'!J223,IF('Сроки и стоимость'!AM61=FALSE,IF(2*'Сроки и стоимость'!$B$38&lt;='Атлант, Великан'!G225,'Атлант, Великан'!B225,B225+B228*_xlfn.CEILING.MATH((2*'Сроки и стоимость'!$B$38-'Атлант, Великан'!G225)/'Атлант, Великан'!G228)),0),0)</f>
        <v/>
      </c>
      <c r="K225" s="16">
        <f>SUM(H224:J225)</f>
        <v/>
      </c>
    </row>
    <row r="226">
      <c r="A226" s="59" t="inlineStr">
        <is>
          <t>парапет в торце (длина до 15 м) -</t>
        </is>
      </c>
      <c r="B226" s="17" t="n">
        <v>0.3</v>
      </c>
      <c r="C226" s="17" t="n"/>
      <c r="D226" s="40" t="n"/>
      <c r="E226" s="16">
        <f>$F$1*B226</f>
        <v/>
      </c>
      <c r="F226" s="16">
        <f>E226+$E$1</f>
        <v/>
      </c>
      <c r="G226" s="16" t="n">
        <v>15</v>
      </c>
      <c r="H226" s="16" t="n">
        <v>0</v>
      </c>
      <c r="I226" s="16">
        <f>IF('Сроки и стоимость'!$AM$60='Атлант, Великан'!I223,IF($M$127&lt;='Атлант, Великан'!G226,'Атлант, Великан'!B226,B226+B229*_xlfn.CEILING.MATH(($M$127-'Атлант, Великан'!G226)/'Атлант, Великан'!G229)),0)</f>
        <v/>
      </c>
      <c r="J226" s="16">
        <f>IF('Сроки и стоимость'!$AM$60='Атлант, Великан'!J223,IF(2*$M$127&lt;='Атлант, Великан'!G226,'Атлант, Великан'!B226,B226+B229*_xlfn.CEILING.MATH((2*$M$127-'Атлант, Великан'!G226)/'Атлант, Великан'!G229)),0)</f>
        <v/>
      </c>
      <c r="K226" s="16">
        <f>SUM(H226:J226)</f>
        <v/>
      </c>
    </row>
    <row r="227">
      <c r="A227" s="59" t="n"/>
      <c r="B227" s="17" t="n"/>
      <c r="C227" s="17" t="n"/>
      <c r="D227" s="40" t="n"/>
    </row>
    <row r="228">
      <c r="A228" s="59" t="inlineStr">
        <is>
          <t>по длинной стороне (длина от 30 м) -</t>
        </is>
      </c>
      <c r="B228" s="17" t="n">
        <v>0.01</v>
      </c>
      <c r="C228" s="17" t="n"/>
      <c r="D228" s="40" t="inlineStr">
        <is>
          <t>за каждые 6 м</t>
        </is>
      </c>
      <c r="E228" s="16">
        <f>$F$1*B228</f>
        <v/>
      </c>
      <c r="F228" s="16">
        <f>E228+$E$1</f>
        <v/>
      </c>
      <c r="G228" s="16" t="n">
        <v>6</v>
      </c>
      <c r="Y228" s="16" t="inlineStr">
        <is>
          <t>за доп стойки и ригели</t>
        </is>
      </c>
    </row>
    <row r="229" ht="15.75" customHeight="1" thickBot="1">
      <c r="A229" s="60" t="inlineStr">
        <is>
          <t>в торце (длина от 15 м) -</t>
        </is>
      </c>
      <c r="B229" s="55" t="n">
        <v>0.01</v>
      </c>
      <c r="C229" s="55" t="n"/>
      <c r="D229" s="50" t="inlineStr">
        <is>
          <t>за каждые 3 м</t>
        </is>
      </c>
      <c r="E229" s="16">
        <f>$F$1*B229</f>
        <v/>
      </c>
      <c r="F229" s="16">
        <f>E229+$E$1</f>
        <v/>
      </c>
      <c r="G229" s="16" t="n">
        <v>3</v>
      </c>
      <c r="Y229" s="16" t="inlineStr">
        <is>
          <t>за доп стойки</t>
        </is>
      </c>
    </row>
    <row r="230" ht="15.75" customHeight="1" thickBot="1"/>
    <row r="231">
      <c r="A231" s="58" t="inlineStr">
        <is>
          <t xml:space="preserve">лестница под ж/б ступени одномаршевая  - </t>
        </is>
      </c>
      <c r="B231" s="45" t="n">
        <v>0.3</v>
      </c>
      <c r="C231" s="45" t="n"/>
      <c r="D231" s="46" t="inlineStr">
        <is>
          <t xml:space="preserve">за 1 шт </t>
        </is>
      </c>
      <c r="E231" s="16">
        <f>$F$1*B231</f>
        <v/>
      </c>
      <c r="F231" s="16">
        <f>E231+$E$1</f>
        <v/>
      </c>
    </row>
    <row r="232">
      <c r="A232" s="59" t="inlineStr">
        <is>
          <t xml:space="preserve">лестница под ж/б ступени двухмаршевая  - </t>
        </is>
      </c>
      <c r="B232" s="17" t="n">
        <v>0.45</v>
      </c>
      <c r="C232" s="17" t="n"/>
      <c r="D232" s="40" t="inlineStr">
        <is>
          <t xml:space="preserve">за 1 шт </t>
        </is>
      </c>
      <c r="E232" s="16">
        <f>$F$1*B232</f>
        <v/>
      </c>
      <c r="F232" s="16">
        <f>E232+$E$1</f>
        <v/>
      </c>
    </row>
    <row r="233">
      <c r="A233" s="59" t="inlineStr">
        <is>
          <t xml:space="preserve">лестница под ж/б ступени трехмаршевая  - </t>
        </is>
      </c>
      <c r="B233" s="17" t="n">
        <v>0.6</v>
      </c>
      <c r="C233" s="17" t="n"/>
      <c r="D233" s="40" t="inlineStr">
        <is>
          <t xml:space="preserve">за 1 шт </t>
        </is>
      </c>
      <c r="E233" s="16">
        <f>$F$1*B233</f>
        <v/>
      </c>
      <c r="F233" s="16">
        <f>E233+$E$1</f>
        <v/>
      </c>
    </row>
    <row r="234">
      <c r="A234" s="59" t="inlineStr">
        <is>
          <t xml:space="preserve">лестница под ж/б ступени четырехмаршевая и более - </t>
        </is>
      </c>
      <c r="B234" s="17" t="n">
        <v>0.8</v>
      </c>
      <c r="C234" s="17" t="n"/>
      <c r="D234" s="40" t="inlineStr">
        <is>
          <t xml:space="preserve">за 1 шт </t>
        </is>
      </c>
      <c r="E234" s="16">
        <f>$F$1*B234</f>
        <v/>
      </c>
      <c r="F234" s="16">
        <f>E234+$E$1</f>
        <v/>
      </c>
    </row>
    <row r="235">
      <c r="A235" s="59" t="n"/>
      <c r="B235" s="17" t="n"/>
      <c r="C235" s="17" t="n"/>
      <c r="D235" s="40" t="n"/>
    </row>
    <row r="236">
      <c r="A236" s="59" t="inlineStr">
        <is>
          <t xml:space="preserve">лестница с метал. ступенями и ограж-ем одномаршевая - </t>
        </is>
      </c>
      <c r="B236" s="17" t="n">
        <v>0.45</v>
      </c>
      <c r="C236" s="17" t="n"/>
      <c r="D236" s="40" t="inlineStr">
        <is>
          <t xml:space="preserve">за 1 шт </t>
        </is>
      </c>
      <c r="E236" s="16">
        <f>$F$1*B236</f>
        <v/>
      </c>
      <c r="F236" s="16">
        <f>E236+$E$1</f>
        <v/>
      </c>
    </row>
    <row r="237">
      <c r="A237" s="59" t="inlineStr">
        <is>
          <t xml:space="preserve">лестница с метал. ступенями и ограж-ем двухмаршевая - </t>
        </is>
      </c>
      <c r="B237" s="17" t="n">
        <v>0.7</v>
      </c>
      <c r="C237" s="17" t="n"/>
      <c r="D237" s="40" t="inlineStr">
        <is>
          <t xml:space="preserve">за 1 шт </t>
        </is>
      </c>
      <c r="E237" s="16">
        <f>$F$1*B237</f>
        <v/>
      </c>
      <c r="F237" s="16">
        <f>E237+$E$1</f>
        <v/>
      </c>
    </row>
    <row r="238">
      <c r="A238" s="59" t="inlineStr">
        <is>
          <t xml:space="preserve">лестница с метал. ступенями и ограж-ем трехмаршевая - </t>
        </is>
      </c>
      <c r="B238" s="17" t="n">
        <v>0.95</v>
      </c>
      <c r="C238" s="17" t="n"/>
      <c r="D238" s="40" t="inlineStr">
        <is>
          <t xml:space="preserve">за 1 шт </t>
        </is>
      </c>
      <c r="E238" s="16">
        <f>$F$1*B238</f>
        <v/>
      </c>
      <c r="F238" s="16">
        <f>E238+$E$1</f>
        <v/>
      </c>
    </row>
    <row r="239" ht="15.75" customHeight="1" thickBot="1">
      <c r="A239" s="60" t="inlineStr">
        <is>
          <t xml:space="preserve">лестница с метал. ступенями и ограж-ем четырехмаршевая и более - </t>
        </is>
      </c>
      <c r="B239" s="55" t="n">
        <v>1.2</v>
      </c>
      <c r="C239" s="55" t="n"/>
      <c r="D239" s="50" t="inlineStr">
        <is>
          <t xml:space="preserve">за 1 шт </t>
        </is>
      </c>
      <c r="E239" s="16">
        <f>$F$1*B239</f>
        <v/>
      </c>
      <c r="F239" s="16">
        <f>E239+$E$1</f>
        <v/>
      </c>
    </row>
    <row r="242" ht="15.75" customHeight="1" thickBot="1">
      <c r="I242" s="16" t="n">
        <v>1</v>
      </c>
      <c r="J242" s="16" t="n">
        <v>2</v>
      </c>
      <c r="K242" s="16" t="n">
        <v>3</v>
      </c>
      <c r="L242" s="16" t="n">
        <v>4</v>
      </c>
      <c r="M242" s="16" t="n">
        <v>5</v>
      </c>
    </row>
    <row r="243">
      <c r="A243" s="58" t="inlineStr">
        <is>
          <t xml:space="preserve">перекрытие - </t>
        </is>
      </c>
      <c r="B243" s="45" t="n">
        <v>0.75</v>
      </c>
      <c r="C243" s="45" t="n"/>
      <c r="D243" s="46" t="inlineStr">
        <is>
          <t>за пролет</t>
        </is>
      </c>
      <c r="E243" s="16">
        <f>$F$1*B243</f>
        <v/>
      </c>
      <c r="F243" s="16">
        <f>E243+$E$1</f>
        <v/>
      </c>
      <c r="I243" s="16">
        <f>IF('Сроки и стоимость'!$AM$14=FALSE,0,IF(AND(I242&lt;='Сроки и стоимость'!$D$33,'Сроки и стоимость'!$B$46&gt;0),1,0))</f>
        <v/>
      </c>
      <c r="J243" s="16">
        <f>IF('Сроки и стоимость'!$AM$14=FALSE,0,IF(AND(J242&lt;='Сроки и стоимость'!$D$33,'Сроки и стоимость'!$D$46&gt;0),1,0))</f>
        <v/>
      </c>
      <c r="K243" s="16">
        <f>IF('Сроки и стоимость'!$AM$14=FALSE,0,IF(AND(K242&lt;='Сроки и стоимость'!$D$33,'Сроки и стоимость'!$F$46&gt;0),1,0))</f>
        <v/>
      </c>
      <c r="L243" s="16">
        <f>IF('Сроки и стоимость'!$AM$14=FALSE,0,IF(AND(L242&lt;='Сроки и стоимость'!$D$33,'Сроки и стоимость'!$H$46&gt;0),1,0))</f>
        <v/>
      </c>
      <c r="M243" s="16">
        <f>IF('Сроки и стоимость'!$AM$14=FALSE,0,IF(AND(M242&lt;='Сроки и стоимость'!$D$33,'Сроки и стоимость'!$J$46&gt;0),1,0))</f>
        <v/>
      </c>
      <c r="N243" s="16">
        <f>SUM(I243:M243)</f>
        <v/>
      </c>
      <c r="O243" s="16">
        <f>B243*N243</f>
        <v/>
      </c>
    </row>
    <row r="244">
      <c r="A244" s="59" t="n"/>
      <c r="B244" s="17" t="n"/>
      <c r="C244" s="17" t="n"/>
      <c r="D244" s="40" t="n"/>
      <c r="G244" s="16" t="inlineStr">
        <is>
          <t>шагов</t>
        </is>
      </c>
    </row>
    <row r="245">
      <c r="A245" s="59" t="inlineStr">
        <is>
          <t>ширина до 2 шагов -</t>
        </is>
      </c>
      <c r="B245" s="17" t="n">
        <v>0</v>
      </c>
      <c r="C245" s="17" t="n"/>
      <c r="D245" s="40" t="n"/>
      <c r="E245" s="16">
        <f>$F$1*B245</f>
        <v/>
      </c>
      <c r="F245" s="16">
        <f>E245+$E$1</f>
        <v/>
      </c>
      <c r="G245" s="16" t="n">
        <v>2</v>
      </c>
      <c r="H245" s="16">
        <f>G245*'Сроки и стоимость'!$B$40</f>
        <v/>
      </c>
      <c r="I245" s="16">
        <f>IF('Сроки и стоимость'!$B$46&lt;='Атлант, Великан'!$H245,'Атлант, Великан'!$B245,0)*I243</f>
        <v/>
      </c>
      <c r="J245" s="16">
        <f>IF('Сроки и стоимость'!$D$46&lt;='Атлант, Великан'!$H245,'Атлант, Великан'!$B245,0)*J243</f>
        <v/>
      </c>
      <c r="K245" s="16">
        <f>IF('Сроки и стоимость'!$F$46&lt;='Атлант, Великан'!$H245,'Атлант, Великан'!$B245,0)*K243</f>
        <v/>
      </c>
      <c r="L245" s="16">
        <f>IF('Сроки и стоимость'!$H$46&lt;='Атлант, Великан'!$H245,'Атлант, Великан'!$B245,0)*L243</f>
        <v/>
      </c>
      <c r="M245" s="16">
        <f>IF('Сроки и стоимость'!$J$46&lt;='Атлант, Великан'!$H245,'Атлант, Великан'!$B245,0)*M243</f>
        <v/>
      </c>
    </row>
    <row r="246">
      <c r="A246" s="59" t="inlineStr">
        <is>
          <t>ширина от 2 шагов -</t>
        </is>
      </c>
      <c r="B246" s="17" t="n">
        <v>0.1</v>
      </c>
      <c r="C246" s="17" t="n"/>
      <c r="D246" s="40" t="inlineStr">
        <is>
          <t>за шаг</t>
        </is>
      </c>
      <c r="E246" s="16">
        <f>$F$1*B246</f>
        <v/>
      </c>
      <c r="F246" s="16">
        <f>E246+$E$1</f>
        <v/>
      </c>
      <c r="G246" s="16" t="n">
        <v>2</v>
      </c>
      <c r="H246" s="16">
        <f>G246*'Сроки и стоимость'!$B$40</f>
        <v/>
      </c>
      <c r="I246" s="16">
        <f>IF('Сроки и стоимость'!$B$46&gt;'Атлант, Великан'!$H246,'Атлант, Великан'!$B246*_xlfn.CEILING.MATH(('Сроки и стоимость'!$B$46-G246*'Сроки и стоимость'!$B$40)/'Сроки и стоимость'!$B$40),0)*I243</f>
        <v/>
      </c>
      <c r="J246" s="16">
        <f>IF('Сроки и стоимость'!$D$46&gt;'Атлант, Великан'!$H246,'Атлант, Великан'!$B246*_xlfn.CEILING.MATH(('Сроки и стоимость'!$D$46-G246*'Сроки и стоимость'!$B$40)/'Сроки и стоимость'!$B$40),0)*J243</f>
        <v/>
      </c>
      <c r="K246" s="16">
        <f>IF('Сроки и стоимость'!$F$46&gt;'Атлант, Великан'!$H246,'Атлант, Великан'!$B246*_xlfn.CEILING.MATH(('Сроки и стоимость'!$F$46-G246*'Сроки и стоимость'!$B$40)/'Сроки и стоимость'!$B$40),0)*K243</f>
        <v/>
      </c>
      <c r="L246" s="16">
        <f>IF('Сроки и стоимость'!$H$46&gt;'Атлант, Великан'!$H246,'Атлант, Великан'!$B246*_xlfn.CEILING.MATH(('Сроки и стоимость'!$H$46-G246*'Сроки и стоимость'!$B$40)/'Сроки и стоимость'!$B$40),0)*L243</f>
        <v/>
      </c>
      <c r="M246" s="16">
        <f>IF('Сроки и стоимость'!$J$46&gt;'Атлант, Великан'!$H246,'Атлант, Великан'!$B246*_xlfn.CEILING.MATH(('Сроки и стоимость'!$J$46-G246*'Сроки и стоимость'!$B$40)/'Сроки и стоимость'!$B$40),0)*M243</f>
        <v/>
      </c>
      <c r="N246" s="16">
        <f>SUM(I245:M246)</f>
        <v/>
      </c>
    </row>
    <row r="247">
      <c r="A247" s="59" t="n"/>
      <c r="B247" s="17" t="n"/>
      <c r="C247" s="17" t="n"/>
      <c r="D247" s="40" t="n"/>
    </row>
    <row r="248">
      <c r="A248" s="59" t="inlineStr">
        <is>
          <t xml:space="preserve">длина до 6 шагов рам - </t>
        </is>
      </c>
      <c r="B248" s="17" t="n">
        <v>0</v>
      </c>
      <c r="C248" s="17" t="n"/>
      <c r="D248" s="40" t="n"/>
      <c r="E248" s="16">
        <f>$F$1*B248</f>
        <v/>
      </c>
      <c r="F248" s="16">
        <f>E248+$E$1</f>
        <v/>
      </c>
      <c r="G248" s="16" t="n">
        <v>6</v>
      </c>
      <c r="H248" s="16">
        <f>G248*'Сроки и стоимость'!$B$40</f>
        <v/>
      </c>
      <c r="I248" s="16">
        <f>IF('Сроки и стоимость'!$AM$14=TRUE,IF('Сроки и стоимость'!$B$38&lt;='Атлант, Великан'!H248,'Атлант, Великан'!B248,0),0)</f>
        <v/>
      </c>
    </row>
    <row r="249" ht="15.75" customHeight="1" thickBot="1">
      <c r="A249" s="60" t="inlineStr">
        <is>
          <t>длина от 6 шагов рам -</t>
        </is>
      </c>
      <c r="B249" s="55" t="n">
        <v>0.04</v>
      </c>
      <c r="C249" s="55" t="n"/>
      <c r="D249" s="50" t="inlineStr">
        <is>
          <t>за шаг</t>
        </is>
      </c>
      <c r="E249" s="16">
        <f>$F$1*B249</f>
        <v/>
      </c>
      <c r="F249" s="16">
        <f>E249+$E$1</f>
        <v/>
      </c>
      <c r="G249" s="16" t="n">
        <v>6</v>
      </c>
      <c r="H249" s="16">
        <f>G249*'Сроки и стоимость'!$B$40</f>
        <v/>
      </c>
      <c r="I249" s="16">
        <f>IF('Сроки и стоимость'!$AM$14=TRUE,IF('Сроки и стоимость'!$B$38&gt;'Атлант, Великан'!H249,'Атлант, Великан'!B249*_xlfn.CEILING.MATH(('Сроки и стоимость'!$B$38-G249*'Сроки и стоимость'!$B$40)/'Сроки и стоимость'!$B$40),0),0)</f>
        <v/>
      </c>
      <c r="J249" s="16">
        <f>SUM(I248:I249)</f>
        <v/>
      </c>
    </row>
    <row r="251" ht="15.75" customHeight="1" thickBot="1">
      <c r="I251" s="16" t="n">
        <v>1</v>
      </c>
      <c r="J251" s="16" t="n">
        <v>2</v>
      </c>
      <c r="K251" s="16" t="n">
        <v>3</v>
      </c>
    </row>
    <row r="252">
      <c r="A252" s="58" t="inlineStr">
        <is>
          <t xml:space="preserve">антресоль - </t>
        </is>
      </c>
      <c r="B252" s="45" t="n">
        <v>0.55</v>
      </c>
      <c r="C252" s="45" t="n"/>
      <c r="D252" s="46" t="inlineStr">
        <is>
          <t>за 1 шт</t>
        </is>
      </c>
      <c r="E252" s="16">
        <f>$F$1*B252</f>
        <v/>
      </c>
      <c r="F252" s="16">
        <f>E252+$E$1</f>
        <v/>
      </c>
      <c r="I252" s="16">
        <f>IF('Сроки и стоимость'!$AM$15=FALSE,0,1)</f>
        <v/>
      </c>
      <c r="J252" s="16">
        <f>IF('Сроки и стоимость'!$AM$16=FALSE,0,1)</f>
        <v/>
      </c>
      <c r="K252" s="16">
        <f>IF('Сроки и стоимость'!$AM$17=FALSE,0,1)</f>
        <v/>
      </c>
      <c r="L252" s="16">
        <f>SUM(I252:K252)</f>
        <v/>
      </c>
      <c r="M252" s="16">
        <f>L252*B252</f>
        <v/>
      </c>
    </row>
    <row r="253">
      <c r="A253" s="59" t="n"/>
      <c r="B253" s="17" t="n"/>
      <c r="C253" s="17" t="n"/>
      <c r="D253" s="40" t="n"/>
    </row>
    <row r="254">
      <c r="A254" s="59" t="inlineStr">
        <is>
          <t>ширина до 2 шагов -</t>
        </is>
      </c>
      <c r="B254" s="17" t="n">
        <v>0</v>
      </c>
      <c r="C254" s="17" t="n"/>
      <c r="D254" s="40" t="n"/>
      <c r="E254" s="16">
        <f>$F$1*B254</f>
        <v/>
      </c>
      <c r="F254" s="16">
        <f>E254+$E$1</f>
        <v/>
      </c>
      <c r="G254" s="16" t="n">
        <v>2</v>
      </c>
      <c r="H254" s="16">
        <f>G254*'Сроки и стоимость'!$B$40</f>
        <v/>
      </c>
      <c r="I254" s="16">
        <f>IF('Сроки и стоимость'!$F$50&lt;='Атлант, Великан'!$H254,'Атлант, Великан'!$B254,0)*I252</f>
        <v/>
      </c>
      <c r="J254" s="16">
        <f>IF('Сроки и стоимость'!$F$54&lt;='Атлант, Великан'!$H254,'Атлант, Великан'!$B254,0)*J252</f>
        <v/>
      </c>
      <c r="K254" s="16">
        <f>IF('Сроки и стоимость'!$F$58&lt;='Атлант, Великан'!$H254,'Атлант, Великан'!$B254,0)*K252</f>
        <v/>
      </c>
    </row>
    <row r="255">
      <c r="A255" s="59" t="inlineStr">
        <is>
          <t>ширина от 2 шагов -</t>
        </is>
      </c>
      <c r="B255" s="17" t="n">
        <v>0.1</v>
      </c>
      <c r="C255" s="17" t="n"/>
      <c r="D255" s="40" t="inlineStr">
        <is>
          <t>за шаг</t>
        </is>
      </c>
      <c r="E255" s="16">
        <f>$F$1*B255</f>
        <v/>
      </c>
      <c r="F255" s="16">
        <f>E255+$E$1</f>
        <v/>
      </c>
      <c r="G255" s="16" t="n">
        <v>2</v>
      </c>
      <c r="H255" s="16">
        <f>G255*'Сроки и стоимость'!$B$40</f>
        <v/>
      </c>
      <c r="I255" s="16">
        <f>IF('Сроки и стоимость'!$F$50&gt;'Атлант, Великан'!$H255,'Атлант, Великан'!$B255*_xlfn.CEILING.MATH(('Сроки и стоимость'!$F$50-$G$255*'Сроки и стоимость'!$B$40)/'Сроки и стоимость'!$B$40),0)*I252</f>
        <v/>
      </c>
      <c r="J255" s="16">
        <f>IF('Сроки и стоимость'!$F$54&gt;'Атлант, Великан'!$H255,'Атлант, Великан'!$B255*_xlfn.CEILING.MATH(('Сроки и стоимость'!$F$54-$G$255*'Сроки и стоимость'!$B$40)/'Сроки и стоимость'!$B$40),0)*J252</f>
        <v/>
      </c>
      <c r="K255" s="16">
        <f>IF('Сроки и стоимость'!$F$58&gt;'Атлант, Великан'!$H255,'Атлант, Великан'!$B255*_xlfn.CEILING.MATH(('Сроки и стоимость'!$F$58-$G$255*'Сроки и стоимость'!$B$40)/'Сроки и стоимость'!$B$40),0)*K252</f>
        <v/>
      </c>
      <c r="L255" s="16">
        <f>SUM(I254:K255)</f>
        <v/>
      </c>
    </row>
    <row r="256">
      <c r="A256" s="59" t="n"/>
      <c r="B256" s="17" t="n"/>
      <c r="C256" s="17" t="n"/>
      <c r="D256" s="40" t="n"/>
    </row>
    <row r="257">
      <c r="A257" s="59" t="inlineStr">
        <is>
          <t xml:space="preserve">длина до 2 шага рам - </t>
        </is>
      </c>
      <c r="B257" s="17" t="n">
        <v>0</v>
      </c>
      <c r="C257" s="17" t="n"/>
      <c r="D257" s="40" t="n"/>
      <c r="E257" s="16">
        <f>$F$1*B257</f>
        <v/>
      </c>
      <c r="F257" s="16">
        <f>E257+$E$1</f>
        <v/>
      </c>
      <c r="G257" s="16" t="n">
        <v>2</v>
      </c>
      <c r="H257" s="16">
        <f>G257*'Сроки и стоимость'!$B$40</f>
        <v/>
      </c>
      <c r="I257" s="16">
        <f>IF('Сроки и стоимость'!$B$50&lt;='Атлант, Великан'!$H257,'Атлант, Великан'!$B257,0)*I252</f>
        <v/>
      </c>
      <c r="J257" s="16">
        <f>IF('Сроки и стоимость'!$B$54&lt;='Атлант, Великан'!$H257,'Атлант, Великан'!$B257,0)*J252</f>
        <v/>
      </c>
      <c r="K257" s="16">
        <f>IF('Сроки и стоимость'!$B$58&lt;='Атлант, Великан'!$H257,'Атлант, Великан'!$B257,0)*K252</f>
        <v/>
      </c>
    </row>
    <row r="258" ht="15.75" customHeight="1" thickBot="1">
      <c r="A258" s="60" t="inlineStr">
        <is>
          <t>длина от 2 шага рам -</t>
        </is>
      </c>
      <c r="B258" s="55" t="n">
        <v>0.04</v>
      </c>
      <c r="C258" s="55" t="n"/>
      <c r="D258" s="50" t="inlineStr">
        <is>
          <t>за шаг</t>
        </is>
      </c>
      <c r="E258" s="16">
        <f>$F$1*B258</f>
        <v/>
      </c>
      <c r="F258" s="16">
        <f>E258+$E$1</f>
        <v/>
      </c>
      <c r="G258" s="16" t="n">
        <v>2</v>
      </c>
      <c r="H258" s="16">
        <f>G258*'Сроки и стоимость'!$B$40</f>
        <v/>
      </c>
      <c r="I258" s="16">
        <f>IF('Сроки и стоимость'!$B$50&gt;'Атлант, Великан'!$H258,'Атлант, Великан'!$B258*_xlfn.CEILING.MATH(('Сроки и стоимость'!$B$50-$G$258*'Сроки и стоимость'!$B$40)/'Сроки и стоимость'!$B$40),0)*I252</f>
        <v/>
      </c>
      <c r="J258" s="16">
        <f>IF('Сроки и стоимость'!$B$54&gt;'Атлант, Великан'!$H258,'Атлант, Великан'!$B258*_xlfn.CEILING.MATH(('Сроки и стоимость'!$B$54-$G$258*'Сроки и стоимость'!$B$40)/'Сроки и стоимость'!$B$40),0)*J252</f>
        <v/>
      </c>
      <c r="K258" s="16">
        <f>IF('Сроки и стоимость'!$B$58&gt;'Атлант, Великан'!$H258,'Атлант, Великан'!$B258*_xlfn.CEILING.MATH(('Сроки и стоимость'!$B$58-$G$258*'Сроки и стоимость'!$B$40)/'Сроки и стоимость'!$B$40),0)*K252</f>
        <v/>
      </c>
      <c r="L258" s="16">
        <f>SUM(I257:K258)</f>
        <v/>
      </c>
    </row>
    <row r="259" ht="15.75" customHeight="1" thickBot="1"/>
    <row r="260">
      <c r="A260" s="58" t="inlineStr">
        <is>
          <t>перегородки - СП -</t>
        </is>
      </c>
      <c r="B260" s="45" t="n">
        <v>0.2</v>
      </c>
      <c r="C260" s="45" t="n"/>
      <c r="D260" s="46" t="n"/>
      <c r="E260" s="16">
        <f>$F$1*B260</f>
        <v/>
      </c>
      <c r="F260" s="16">
        <f>E260+$E$1</f>
        <v/>
      </c>
      <c r="G260" s="16" t="n">
        <v>100</v>
      </c>
      <c r="H260" s="16" t="n">
        <v>30</v>
      </c>
      <c r="I260" s="16">
        <f>IF('Сроки и стоимость'!$AM$44=TRUE,IF('Сроки и стоимость'!$B$88&lt;='Атлант, Великан'!G260,'Атлант, Великан'!B260+B262,B260+B263*MAX(0,_xlfn.CEILING.MATH(('Сроки и стоимость'!$B$88-'Атлант, Великан'!G260)/'Атлант, Великан'!H260)))+IF('Сроки и стоимость'!$AM$45=TRUE,'Сроки и стоимость'!M88*B266,0),0)</f>
        <v/>
      </c>
    </row>
    <row r="261">
      <c r="A261" s="59" t="n"/>
      <c r="B261" s="17" t="n"/>
      <c r="C261" s="17" t="n"/>
      <c r="D261" s="40" t="n"/>
    </row>
    <row r="262">
      <c r="A262" s="59" t="inlineStr">
        <is>
          <t>площадь перегородок до 100 м2 -</t>
        </is>
      </c>
      <c r="B262" s="17" t="n">
        <v>0</v>
      </c>
      <c r="C262" s="17" t="n"/>
      <c r="D262" s="40" t="n"/>
      <c r="E262" s="16">
        <f>$F$1*B262</f>
        <v/>
      </c>
      <c r="F262" s="16">
        <f>E262+$E$1</f>
        <v/>
      </c>
    </row>
    <row r="263">
      <c r="A263" s="59" t="inlineStr">
        <is>
          <t>площадь перегородок от 100 м2 -</t>
        </is>
      </c>
      <c r="B263" s="17" t="n">
        <v>0.015</v>
      </c>
      <c r="C263" s="17" t="n"/>
      <c r="D263" s="40" t="inlineStr">
        <is>
          <t>за каждые 30 м2</t>
        </is>
      </c>
      <c r="E263" s="16">
        <f>$F$1*B263</f>
        <v/>
      </c>
      <c r="F263" s="16">
        <f>E263+$E$1</f>
        <v/>
      </c>
    </row>
    <row r="264">
      <c r="A264" s="59" t="n"/>
      <c r="B264" s="17" t="n"/>
      <c r="C264" s="17" t="n"/>
      <c r="D264" s="40" t="n"/>
    </row>
    <row r="265">
      <c r="A265" s="59" t="inlineStr">
        <is>
          <t>ворота -</t>
        </is>
      </c>
      <c r="B265" s="17" t="n">
        <v>0.075</v>
      </c>
      <c r="C265" s="17" t="n"/>
      <c r="D265" s="40" t="inlineStr">
        <is>
          <t>за 1 шт</t>
        </is>
      </c>
      <c r="E265" s="16">
        <f>$F$1*B265</f>
        <v/>
      </c>
      <c r="F265" s="16">
        <f>E265+$E$1</f>
        <v/>
      </c>
      <c r="H265" s="16">
        <f>IF('Сроки и стоимость'!$AM$46=TRUE,'Атлант, Великан'!B265*'Сроки и стоимость'!M85,0)</f>
        <v/>
      </c>
    </row>
    <row r="266" ht="15.75" customHeight="1" thickBot="1">
      <c r="A266" s="60" t="inlineStr">
        <is>
          <t xml:space="preserve">двери и окна - </t>
        </is>
      </c>
      <c r="B266" s="55" t="n">
        <v>0.04</v>
      </c>
      <c r="C266" s="55" t="n"/>
      <c r="D266" s="50" t="inlineStr">
        <is>
          <t>за 1 шт</t>
        </is>
      </c>
      <c r="E266" s="16">
        <f>$F$1*B266</f>
        <v/>
      </c>
      <c r="F266" s="16">
        <f>E266+$E$1</f>
        <v/>
      </c>
      <c r="H266" s="16">
        <f>IF('Сроки и стоимость'!$AM$45=TRUE,'Атлант, Великан'!B266*'Сроки и стоимость'!M88,0)</f>
        <v/>
      </c>
    </row>
    <row r="267" ht="15.75" customHeight="1" thickBot="1"/>
    <row r="268">
      <c r="A268" s="58" t="inlineStr">
        <is>
          <t xml:space="preserve">перегородки - СП послойной сборки </t>
        </is>
      </c>
      <c r="B268" s="45" t="n">
        <v>0.4</v>
      </c>
      <c r="C268" s="45" t="n"/>
      <c r="D268" s="46" t="n"/>
      <c r="E268" s="16">
        <f>$F$1*B268</f>
        <v/>
      </c>
      <c r="F268" s="16">
        <f>E268+$E$1</f>
        <v/>
      </c>
      <c r="G268" s="16" t="n">
        <v>100</v>
      </c>
      <c r="H268" s="16" t="n">
        <v>30</v>
      </c>
      <c r="I268" s="16">
        <f>IF('Сроки и стоимость'!$AM$43=TRUE,IF('Сроки и стоимость'!$B$85&lt;='Атлант, Великан'!G268,'Атлант, Великан'!B268+B270,B268+B271*MAX(0,_xlfn.CEILING.MATH(('Сроки и стоимость'!$B$85-'Атлант, Великан'!G268)/'Атлант, Великан'!H268)))+IF('Сроки и стоимость'!$AM$45=TRUE,'Сроки и стоимость'!M85*B274,0),0)</f>
        <v/>
      </c>
      <c r="K268" s="16" t="inlineStr">
        <is>
          <t>спп</t>
        </is>
      </c>
    </row>
    <row r="269">
      <c r="A269" s="59" t="n"/>
      <c r="B269" s="17" t="n"/>
      <c r="C269" s="17" t="n"/>
      <c r="D269" s="40" t="n"/>
    </row>
    <row r="270">
      <c r="A270" s="59" t="inlineStr">
        <is>
          <t>площадь перегородок до 100 м2 -</t>
        </is>
      </c>
      <c r="B270" s="17" t="n">
        <v>0</v>
      </c>
      <c r="C270" s="17" t="n"/>
      <c r="D270" s="40" t="n"/>
      <c r="E270" s="16">
        <f>$F$1*B270</f>
        <v/>
      </c>
      <c r="F270" s="16">
        <f>E270+$E$1</f>
        <v/>
      </c>
    </row>
    <row r="271">
      <c r="A271" s="59" t="inlineStr">
        <is>
          <t>площадь перегородок от 100 м2 -</t>
        </is>
      </c>
      <c r="B271" s="17" t="n">
        <v>0.03</v>
      </c>
      <c r="C271" s="17" t="n"/>
      <c r="D271" s="40" t="inlineStr">
        <is>
          <t>за каждые 30 м2</t>
        </is>
      </c>
      <c r="E271" s="16">
        <f>$F$1*B271</f>
        <v/>
      </c>
      <c r="F271" s="16">
        <f>E271+$E$1</f>
        <v/>
      </c>
    </row>
    <row r="272">
      <c r="A272" s="59" t="n"/>
      <c r="B272" s="17" t="n"/>
      <c r="C272" s="17" t="n"/>
      <c r="D272" s="40" t="n"/>
    </row>
    <row r="273">
      <c r="A273" s="59" t="inlineStr">
        <is>
          <t>ворота -</t>
        </is>
      </c>
      <c r="B273" s="17" t="n">
        <v>0.075</v>
      </c>
      <c r="C273" s="17" t="n"/>
      <c r="D273" s="40" t="inlineStr">
        <is>
          <t>за 1 шт</t>
        </is>
      </c>
      <c r="E273" s="16">
        <f>$F$1*B273</f>
        <v/>
      </c>
      <c r="F273" s="16">
        <f>E273+$E$1</f>
        <v/>
      </c>
    </row>
    <row r="274" ht="15.75" customHeight="1" thickBot="1">
      <c r="A274" s="60" t="inlineStr">
        <is>
          <t xml:space="preserve">двери и окна - </t>
        </is>
      </c>
      <c r="B274" s="55" t="n">
        <v>0.035</v>
      </c>
      <c r="C274" s="55" t="n"/>
      <c r="D274" s="50" t="inlineStr">
        <is>
          <t>за 1 шт</t>
        </is>
      </c>
      <c r="E274" s="16">
        <f>$F$1*B274</f>
        <v/>
      </c>
      <c r="F274" s="16">
        <f>E274+$E$1</f>
        <v/>
      </c>
    </row>
    <row r="275" ht="15.75" customHeight="1" thickBot="1"/>
    <row r="276">
      <c r="A276" s="58" t="inlineStr">
        <is>
          <t>перегородки - ГВЛ -</t>
        </is>
      </c>
      <c r="B276" s="45" t="n">
        <v>0.2</v>
      </c>
      <c r="C276" s="45" t="n"/>
      <c r="D276" s="46" t="n"/>
      <c r="G276" s="16" t="n">
        <v>100</v>
      </c>
      <c r="H276" s="16" t="n">
        <v>30</v>
      </c>
      <c r="I276" s="16">
        <f>IF('Сроки и стоимость'!AM9=TRUE,0,IF('Сроки и стоимость'!$AM$42=TRUE,IF('Сроки и стоимость'!$B$81&lt;='Атлант, Великан'!G276,'Атлант, Великан'!B276+B278,B276+B279*MAX(0,_xlfn.CEILING.MATH(('Сроки и стоимость'!$B$81-'Атлант, Великан'!G276)/'Атлант, Великан'!H276)))+IF('Сроки и стоимость'!$AM$45=TRUE,'Сроки и стоимость'!M81*B282,0),0))</f>
        <v/>
      </c>
      <c r="K276" s="16" t="inlineStr">
        <is>
          <t>гвл</t>
        </is>
      </c>
    </row>
    <row r="277">
      <c r="A277" s="59" t="n"/>
      <c r="B277" s="17" t="n"/>
      <c r="C277" s="17" t="n"/>
      <c r="D277" s="40" t="n"/>
    </row>
    <row r="278">
      <c r="A278" s="59" t="inlineStr">
        <is>
          <t>площадь перегородок до 100 м2 -</t>
        </is>
      </c>
      <c r="B278" s="17" t="n">
        <v>0</v>
      </c>
      <c r="C278" s="17" t="n"/>
      <c r="D278" s="40" t="n"/>
    </row>
    <row r="279">
      <c r="A279" s="59" t="inlineStr">
        <is>
          <t>площадь перегородок от 100 м2 -</t>
        </is>
      </c>
      <c r="B279" s="17" t="n">
        <v>0.015</v>
      </c>
      <c r="C279" s="17" t="n"/>
      <c r="D279" s="40" t="inlineStr">
        <is>
          <t>за каждые 30 м2</t>
        </is>
      </c>
    </row>
    <row r="280">
      <c r="A280" s="59" t="n"/>
      <c r="B280" s="17" t="n"/>
      <c r="C280" s="17" t="n"/>
      <c r="D280" s="40" t="n"/>
    </row>
    <row r="281">
      <c r="A281" s="59" t="inlineStr">
        <is>
          <t>ворота -</t>
        </is>
      </c>
      <c r="B281" s="17" t="n">
        <v>0</v>
      </c>
      <c r="C281" s="17" t="n"/>
      <c r="D281" s="40" t="inlineStr">
        <is>
          <t>за 1 шт</t>
        </is>
      </c>
    </row>
    <row r="282" ht="15.75" customHeight="1" thickBot="1">
      <c r="A282" s="60" t="inlineStr">
        <is>
          <t xml:space="preserve">двери и окна - </t>
        </is>
      </c>
      <c r="B282" s="55" t="n">
        <v>0.01</v>
      </c>
      <c r="C282" s="55" t="n"/>
      <c r="D282" s="50" t="inlineStr">
        <is>
          <t>за 1 шт</t>
        </is>
      </c>
    </row>
    <row r="283" ht="15.75" customHeight="1" thickBot="1"/>
    <row r="284">
      <c r="A284" s="58" t="inlineStr">
        <is>
          <t xml:space="preserve">ограждение кровли - СП послойной сборки - </t>
        </is>
      </c>
      <c r="B284" s="45" t="n">
        <v>0</v>
      </c>
      <c r="C284" s="45" t="n"/>
      <c r="D284" s="46" t="n"/>
      <c r="E284" s="16">
        <f>$F$1*B284</f>
        <v/>
      </c>
      <c r="F284" s="16">
        <f>E284+$E$1</f>
        <v/>
      </c>
    </row>
    <row r="285">
      <c r="A285" s="59" t="inlineStr">
        <is>
          <t xml:space="preserve">ограждение кровли - СП, профлист - </t>
        </is>
      </c>
      <c r="B285" s="17" t="n">
        <v>0.05</v>
      </c>
      <c r="C285" s="17" t="n"/>
      <c r="D285" s="40" t="n"/>
      <c r="E285" s="16">
        <f>$F$1*B285</f>
        <v/>
      </c>
      <c r="F285" s="16">
        <f>E285+$E$1</f>
        <v/>
      </c>
    </row>
    <row r="286">
      <c r="A286" s="59" t="n"/>
      <c r="B286" s="17" t="n"/>
      <c r="C286" s="17" t="n"/>
      <c r="D286" s="40" t="n"/>
    </row>
    <row r="287">
      <c r="A287" s="59" t="inlineStr">
        <is>
          <t>наличие ограждения кровли -</t>
        </is>
      </c>
      <c r="B287" s="17" t="n">
        <v>0.04</v>
      </c>
      <c r="C287" s="17" t="n"/>
      <c r="D287" s="40" t="n"/>
      <c r="E287" s="16">
        <f>$F$1*B287</f>
        <v/>
      </c>
      <c r="F287" s="16">
        <f>E287+$E$1</f>
        <v/>
      </c>
    </row>
    <row r="288">
      <c r="A288" s="59" t="n"/>
      <c r="B288" s="17" t="n"/>
      <c r="C288" s="17" t="n"/>
      <c r="D288" s="40" t="n"/>
    </row>
    <row r="289" ht="15.75" customHeight="1" thickBot="1">
      <c r="A289" s="60" t="inlineStr">
        <is>
          <t>наличие снегозадержания -</t>
        </is>
      </c>
      <c r="B289" s="55" t="n">
        <v>0.04</v>
      </c>
      <c r="C289" s="55" t="n"/>
      <c r="D289" s="50" t="n"/>
      <c r="E289" s="16">
        <f>$F$1*B289</f>
        <v/>
      </c>
      <c r="F289" s="16">
        <f>E289+$E$1</f>
        <v/>
      </c>
    </row>
    <row r="290" ht="15.75" customHeight="1" thickBot="1">
      <c r="C290" s="16" t="inlineStr">
        <is>
          <t>за отличающийся этаж</t>
        </is>
      </c>
    </row>
    <row r="291">
      <c r="A291" s="58" t="inlineStr">
        <is>
          <t>несколько этажей перекрытия</t>
        </is>
      </c>
      <c r="B291" s="45" t="n">
        <v>0.75</v>
      </c>
      <c r="C291" s="45" t="n">
        <v>0.25</v>
      </c>
      <c r="D291" s="46" t="inlineStr">
        <is>
          <t>за каждый этаж после 2го</t>
        </is>
      </c>
      <c r="E291" s="16" t="inlineStr">
        <is>
          <t>перекрытие</t>
        </is>
      </c>
      <c r="F291" s="16">
        <f>IF('Сроки и стоимость'!AM14=FALSE,0,IF('Сроки и стоимость'!$AM65=TRUE,'Атлант, Великан'!$B$291+'Атлант, Великан'!$C$291,'Атлант, Великан'!$B$291))</f>
        <v/>
      </c>
      <c r="G291" s="16">
        <f>(MAX('Сроки и стоимость'!$L$46,2)-2)*'Атлант, Великан'!F291</f>
        <v/>
      </c>
    </row>
    <row r="292" ht="15.75" customHeight="1" thickBot="1">
      <c r="A292" s="60" t="inlineStr">
        <is>
          <t>несколько этажей антресоли</t>
        </is>
      </c>
      <c r="B292" s="55" t="n">
        <v>0.75</v>
      </c>
      <c r="C292" s="55" t="n">
        <v>0.25</v>
      </c>
      <c r="D292" s="50" t="inlineStr">
        <is>
          <t>за каждый этаж после 2го</t>
        </is>
      </c>
      <c r="E292" s="16" t="inlineStr">
        <is>
          <t>антр 1</t>
        </is>
      </c>
      <c r="F292" s="16">
        <f>IF('Сроки и стоимость'!AM15=FALSE,0,IF('Сроки и стоимость'!$AM66=TRUE,'Атлант, Великан'!$B$292+'Атлант, Великан'!$C$292,'Атлант, Великан'!$B$292))</f>
        <v/>
      </c>
      <c r="G292" s="16">
        <f>(MAX('Сроки и стоимость'!$L$50,2)-2)*'Атлант, Великан'!F292</f>
        <v/>
      </c>
    </row>
    <row r="293">
      <c r="E293" s="16" t="inlineStr">
        <is>
          <t>антр 2</t>
        </is>
      </c>
      <c r="F293" s="16">
        <f>IF('Сроки и стоимость'!AM16=FALSE,0,IF('Сроки и стоимость'!$AM67=TRUE,'Атлант, Великан'!$B$292+'Атлант, Великан'!$C$292,'Атлант, Великан'!$B$292))</f>
        <v/>
      </c>
      <c r="G293" s="16">
        <f>(MAX('Сроки и стоимость'!$L$54,2)-2)*'Атлант, Великан'!F293</f>
        <v/>
      </c>
    </row>
    <row r="294">
      <c r="E294" s="16" t="inlineStr">
        <is>
          <t>антр 3</t>
        </is>
      </c>
      <c r="F294" s="16">
        <f>IF('Сроки и стоимость'!AM17=FALSE,0,IF('Сроки и стоимость'!$AM68=TRUE,'Атлант, Великан'!$B$292+'Атлант, Великан'!$C$292,'Атлант, Великан'!$B$292))</f>
        <v/>
      </c>
      <c r="G294" s="16">
        <f>(MAX('Сроки и стоимость'!$L$58,2)-2)*'Атлант, Великан'!F294</f>
        <v/>
      </c>
    </row>
    <row r="295" ht="15.75" customHeight="1" thickBot="1"/>
    <row r="296" ht="15.75" customHeight="1" thickBot="1">
      <c r="A296" s="56" t="inlineStr">
        <is>
          <t>Наличие подстропильной фермы в великане</t>
        </is>
      </c>
      <c r="B296" s="12" t="n">
        <v>0.5</v>
      </c>
      <c r="C296" s="12" t="n">
        <v>0.5</v>
      </c>
      <c r="D296" s="57" t="inlineStr">
        <is>
          <t>за каждый пролет после 2го</t>
        </is>
      </c>
      <c r="F296" s="16">
        <f>CHOOSE('Сроки и стоимость'!AM7,0,0,1,0,0,0)*IF('Сроки и стоимость'!AM10=FALSE,0,'Атлант, Великан'!B296+('Сроки и стоимость'!D33-2)*'Атлант, Великан'!C296)</f>
        <v/>
      </c>
    </row>
    <row r="299" ht="15" customHeight="1">
      <c r="A299" s="152" t="inlineStr">
        <is>
          <t>АС</t>
        </is>
      </c>
      <c r="B299" s="16" t="n"/>
      <c r="C299" s="16" t="n"/>
      <c r="D299" s="16" t="n"/>
    </row>
    <row r="300">
      <c r="A300" s="16" t="n"/>
      <c r="B300" s="16" t="n"/>
      <c r="C300" s="16" t="n"/>
      <c r="D300" s="16" t="n"/>
    </row>
    <row r="301">
      <c r="A301" s="16" t="n"/>
      <c r="B301" s="16" t="n"/>
      <c r="C301" s="16" t="n"/>
      <c r="D301" s="16" t="n"/>
    </row>
    <row r="302" hidden="1" ht="15.75" customHeight="1" thickBot="1">
      <c r="A302" s="11" t="inlineStr">
        <is>
          <t>великан, атлант, атлант-М -</t>
        </is>
      </c>
      <c r="B302" s="12" t="n">
        <v>0.4</v>
      </c>
      <c r="C302" s="13" t="n"/>
      <c r="D302" s="14" t="n"/>
      <c r="E302" s="153">
        <f>F302*B302</f>
        <v/>
      </c>
      <c r="F302" s="16" t="n">
        <v>80</v>
      </c>
      <c r="I302" s="16" t="n">
        <v>1</v>
      </c>
      <c r="J302" s="16" t="n">
        <v>2</v>
      </c>
      <c r="K302" s="16" t="n">
        <v>3</v>
      </c>
      <c r="L302" s="16" t="n">
        <v>4</v>
      </c>
      <c r="M302" s="16" t="n">
        <v>5</v>
      </c>
    </row>
    <row r="303" hidden="1" ht="15.75" customHeight="1" thickBot="1">
      <c r="H303" s="16" t="inlineStr">
        <is>
          <t>ширина</t>
        </is>
      </c>
      <c r="I303" s="16">
        <f>H127</f>
        <v/>
      </c>
      <c r="J303" s="16">
        <f>I127</f>
        <v/>
      </c>
      <c r="K303" s="16">
        <f>J127</f>
        <v/>
      </c>
      <c r="L303" s="16">
        <f>K127</f>
        <v/>
      </c>
      <c r="M303" s="16">
        <f>L127</f>
        <v/>
      </c>
      <c r="N303" s="16">
        <f>M127</f>
        <v/>
      </c>
    </row>
    <row r="304" hidden="1" ht="15.75" customHeight="1" thickBot="1">
      <c r="A304" s="11" t="inlineStr">
        <is>
          <t>спринт-М, спринт-2М, Крон -</t>
        </is>
      </c>
      <c r="B304" s="12" t="n">
        <v>0.3</v>
      </c>
      <c r="C304" s="13" t="n"/>
      <c r="D304" s="14" t="n"/>
      <c r="E304" s="153">
        <f>F304*B304</f>
        <v/>
      </c>
      <c r="F304" s="16" t="n">
        <v>80</v>
      </c>
      <c r="H304" s="16" t="inlineStr">
        <is>
          <t>площадь кровли</t>
        </is>
      </c>
      <c r="I304" s="16">
        <f>$N$303*'Сроки и стоимость'!$B$38/IF('Сроки и стоимость'!$BJ$11=3,1,CHOOSE('Сроки и стоимость'!$AM$7,0.966,0.995,0.995,0.995,0.995,0.995))</f>
        <v/>
      </c>
      <c r="J304" s="16" t="inlineStr">
        <is>
          <t>м2</t>
        </is>
      </c>
    </row>
    <row r="305" hidden="1"/>
    <row r="306" hidden="1" ht="15.75" customHeight="1" thickBot="1"/>
    <row r="307" hidden="1" ht="32.25" customHeight="1" thickBot="1">
      <c r="A307" s="92" t="inlineStr">
        <is>
          <t>великан, атлант, атлант-М, спринт-М, спринт-2М, Крон двускатная кровля - профлист</t>
        </is>
      </c>
      <c r="F307" s="16">
        <f>IF(AND('Сроки и стоимость'!BJ11=2,'Сроки и стоимость'!BJ31=1),1,0)</f>
        <v/>
      </c>
    </row>
    <row r="308" hidden="1">
      <c r="A308" s="18" t="inlineStr">
        <is>
          <t xml:space="preserve">пролет (суммарный, если многопролетное) до 15 вкл - </t>
        </is>
      </c>
      <c r="B308" s="19" t="n">
        <v>0.05</v>
      </c>
      <c r="C308" s="19" t="n"/>
      <c r="D308" s="20" t="n"/>
      <c r="E308" s="16">
        <f>$F$302*B308</f>
        <v/>
      </c>
      <c r="H308" s="16" t="n">
        <v>15</v>
      </c>
      <c r="I308" s="16">
        <f>IF($N$303&lt;=H308,B308,0)</f>
        <v/>
      </c>
    </row>
    <row r="309" hidden="1">
      <c r="A309" s="21" t="inlineStr">
        <is>
          <t xml:space="preserve">пролет (суммарный, если многопролетное) от 15 до 30 вкл - </t>
        </is>
      </c>
      <c r="B309" s="16" t="n">
        <v>0.1</v>
      </c>
      <c r="D309" s="22" t="n"/>
      <c r="E309" s="16">
        <f>$F$302*B309</f>
        <v/>
      </c>
      <c r="H309" s="16" t="n">
        <v>30</v>
      </c>
      <c r="I309" s="16">
        <f>IF(AND($N$303&lt;=H309,$N$303&gt;H308),B309,0)</f>
        <v/>
      </c>
    </row>
    <row r="310" hidden="1">
      <c r="A310" s="21" t="inlineStr">
        <is>
          <t xml:space="preserve">пролет (суммарный, если многопролетное) от 30 до 45 вкл - </t>
        </is>
      </c>
      <c r="B310" s="16" t="n">
        <v>0.15</v>
      </c>
      <c r="D310" s="22" t="n"/>
      <c r="E310" s="16">
        <f>$F$302*B310</f>
        <v/>
      </c>
      <c r="H310" s="16" t="n">
        <v>45</v>
      </c>
      <c r="I310" s="16">
        <f>IF(AND($N$303&lt;=H310,$N$303&gt;H309),B310,0)</f>
        <v/>
      </c>
    </row>
    <row r="311" hidden="1">
      <c r="A311" s="16" t="inlineStr">
        <is>
          <t xml:space="preserve">пролет (суммарный, если многопролетное) от 45 до 60 вкл - </t>
        </is>
      </c>
      <c r="B311" s="31" t="n">
        <v>0.2</v>
      </c>
      <c r="D311" s="22" t="n"/>
      <c r="E311" s="16">
        <f>$F$302*B311</f>
        <v/>
      </c>
      <c r="H311" s="16" t="n">
        <v>60</v>
      </c>
      <c r="I311" s="16">
        <f>IF(AND($N$303&lt;=H311,$N$303&gt;H310),B311,0)</f>
        <v/>
      </c>
    </row>
    <row r="312" hidden="1">
      <c r="A312" s="16" t="inlineStr">
        <is>
          <t xml:space="preserve">пролет (суммарный, если многопролетное) от 60 до 75 вкл - </t>
        </is>
      </c>
      <c r="B312" s="31" t="n">
        <v>0.25</v>
      </c>
      <c r="D312" s="22" t="n"/>
      <c r="H312" s="16" t="n">
        <v>75</v>
      </c>
      <c r="I312" s="16">
        <f>IF(AND($N$303&lt;=H312,$N$303&gt;H311),B312,0)</f>
        <v/>
      </c>
    </row>
    <row r="313" hidden="1">
      <c r="A313" s="16" t="inlineStr">
        <is>
          <t xml:space="preserve">пролет (суммарный, если многопролетное) от 75 до 90 вкл - </t>
        </is>
      </c>
      <c r="B313" s="31" t="n">
        <v>0.3</v>
      </c>
      <c r="D313" s="22" t="n"/>
      <c r="H313" s="16" t="n">
        <v>90</v>
      </c>
      <c r="I313" s="16">
        <f>IF(AND($N$303&lt;=H313,$N$303&gt;H312),B313,0)</f>
        <v/>
      </c>
    </row>
    <row r="314" hidden="1">
      <c r="A314" s="16" t="inlineStr">
        <is>
          <t xml:space="preserve">пролет (суммарный, если многопролетное) от 90 до 105 вкл - </t>
        </is>
      </c>
      <c r="B314" s="31" t="n">
        <v>0.35</v>
      </c>
      <c r="D314" s="22" t="n"/>
      <c r="H314" s="16" t="n">
        <v>105</v>
      </c>
      <c r="I314" s="16">
        <f>IF(AND($N$303&lt;=H314,$N$303&gt;H313),B314,0)</f>
        <v/>
      </c>
    </row>
    <row r="315" hidden="1">
      <c r="A315" s="16" t="inlineStr">
        <is>
          <t xml:space="preserve">пролет (суммарный, если многопролетное) от 105 до 120 вкл - </t>
        </is>
      </c>
      <c r="B315" s="31" t="n">
        <v>0.4</v>
      </c>
      <c r="D315" s="22" t="n"/>
      <c r="H315" s="16" t="n">
        <v>120</v>
      </c>
      <c r="I315" s="16">
        <f>IF(AND($N$303&lt;=H315,$N$303&gt;H314),B315,0)</f>
        <v/>
      </c>
    </row>
    <row r="316" hidden="1">
      <c r="A316" s="16" t="inlineStr">
        <is>
          <t xml:space="preserve">пролет (суммарный, если многопролетное) от 120 до 135 вкл - </t>
        </is>
      </c>
      <c r="B316" s="31" t="n">
        <v>0.45</v>
      </c>
      <c r="D316" s="22" t="n"/>
      <c r="H316" s="16" t="n">
        <v>135</v>
      </c>
      <c r="I316" s="16">
        <f>IF(AND($N$303&lt;=H316,$N$303&gt;H315),B316,0)</f>
        <v/>
      </c>
    </row>
    <row r="317" hidden="1">
      <c r="A317" s="16" t="inlineStr">
        <is>
          <t xml:space="preserve">пролет (суммарный, если многопролетное) от 135 до 150 вкл - </t>
        </is>
      </c>
      <c r="B317" s="31" t="n">
        <v>0.5</v>
      </c>
      <c r="D317" s="22" t="n"/>
      <c r="H317" s="16" t="n">
        <v>150</v>
      </c>
      <c r="I317" s="16">
        <f>IF(AND($N$303&lt;=H317,$N$303&gt;H316),B317,0)</f>
        <v/>
      </c>
      <c r="J317" s="16">
        <f>IF(F307=0,9999999,SUM(I308:I317,I319))</f>
        <v/>
      </c>
    </row>
    <row r="318" hidden="1">
      <c r="A318" s="21" t="n"/>
      <c r="D318" s="22" t="n"/>
    </row>
    <row r="319" hidden="1" ht="15.75" customHeight="1" thickBot="1">
      <c r="A319" s="23" t="inlineStr">
        <is>
          <t>площадь кровли от 400 м2 -</t>
        </is>
      </c>
      <c r="B319" s="24" t="n">
        <v>0.001</v>
      </c>
      <c r="C319" s="24" t="n"/>
      <c r="D319" s="25" t="inlineStr">
        <is>
          <t xml:space="preserve"> - за каждые 30 м2</t>
        </is>
      </c>
      <c r="E319" s="16">
        <f>$F$302*B319</f>
        <v/>
      </c>
      <c r="G319" s="16" t="n">
        <v>400</v>
      </c>
      <c r="H319" s="16" t="n">
        <v>30</v>
      </c>
      <c r="I319" s="16">
        <f>IF($I$304&gt;G319,_xlfn.CEILING.MATH(($I$304-G319)/H319,1)*B319,0)</f>
        <v/>
      </c>
    </row>
    <row r="320" hidden="1" ht="15.75" customHeight="1" thickBot="1"/>
    <row r="321" hidden="1" ht="30.75" customHeight="1" thickBot="1">
      <c r="A321" s="92" t="inlineStr">
        <is>
          <t>великан, атлант, атлант-М, спринт-М, спринт-2М, Крон двускатная кровля - СП послойной сборки</t>
        </is>
      </c>
      <c r="F321" s="16">
        <f>IF(AND('Сроки и стоимость'!BJ11=2,'Сроки и стоимость'!BJ31=2),1,0)</f>
        <v/>
      </c>
    </row>
    <row r="322" hidden="1">
      <c r="A322" s="18" t="inlineStr">
        <is>
          <t xml:space="preserve">пролет (суммарный, если многопролетное) до 15 вкл - </t>
        </is>
      </c>
      <c r="B322" s="19" t="n">
        <v>0.1</v>
      </c>
      <c r="C322" s="19" t="n"/>
      <c r="D322" s="20" t="n"/>
      <c r="E322" s="16">
        <f>$F$302*B322</f>
        <v/>
      </c>
      <c r="H322" s="16" t="n">
        <v>15</v>
      </c>
      <c r="I322" s="16">
        <f>IF($N$303&lt;=H322,B322,0)</f>
        <v/>
      </c>
    </row>
    <row r="323" hidden="1">
      <c r="A323" s="21" t="inlineStr">
        <is>
          <t xml:space="preserve">пролет (суммарный, если многопролетное) от 15 до 30 вкл - </t>
        </is>
      </c>
      <c r="B323" s="16" t="n">
        <v>0.2</v>
      </c>
      <c r="D323" s="22" t="n"/>
      <c r="E323" s="16">
        <f>$F$302*B323</f>
        <v/>
      </c>
      <c r="H323" s="16" t="n">
        <v>30</v>
      </c>
      <c r="I323" s="16">
        <f>IF(AND($N$303&lt;=H323,$N$303&gt;H322),B323,0)</f>
        <v/>
      </c>
    </row>
    <row r="324" hidden="1">
      <c r="A324" s="21" t="inlineStr">
        <is>
          <t xml:space="preserve">пролет (суммарный, если многопролетное) от 30 до 45 вкл - </t>
        </is>
      </c>
      <c r="B324" s="16" t="n">
        <v>0.25</v>
      </c>
      <c r="D324" s="22" t="n"/>
      <c r="E324" s="16">
        <f>$F$302*B324</f>
        <v/>
      </c>
      <c r="H324" s="16" t="n">
        <v>45</v>
      </c>
      <c r="I324" s="16">
        <f>IF(AND($N$303&lt;=H324,$N$303&gt;H323),B324,0)</f>
        <v/>
      </c>
    </row>
    <row r="325" hidden="1">
      <c r="A325" s="16" t="inlineStr">
        <is>
          <t xml:space="preserve">пролет (суммарный, если многопролетное) от 45 до 60 вкл - </t>
        </is>
      </c>
      <c r="B325" s="31" t="n">
        <v>0.3</v>
      </c>
      <c r="D325" s="22" t="n"/>
      <c r="E325" s="16">
        <f>$F$302*B325</f>
        <v/>
      </c>
      <c r="H325" s="16" t="n">
        <v>60</v>
      </c>
      <c r="I325" s="16">
        <f>IF(AND($N$303&lt;=H325,$N$303&gt;H324),B325,0)</f>
        <v/>
      </c>
    </row>
    <row r="326" hidden="1">
      <c r="A326" s="16" t="inlineStr">
        <is>
          <t xml:space="preserve">пролет (суммарный, если многопролетное) от 60 до 75 вкл - </t>
        </is>
      </c>
      <c r="B326" s="16" t="n">
        <v>0.35</v>
      </c>
      <c r="D326" s="22" t="n"/>
      <c r="E326" s="16">
        <f>$F$302*B326</f>
        <v/>
      </c>
      <c r="H326" s="16" t="n">
        <v>75</v>
      </c>
      <c r="I326" s="16">
        <f>IF(AND($N$303&lt;=H326,$N$303&gt;H325),B326,0)</f>
        <v/>
      </c>
    </row>
    <row r="327" hidden="1">
      <c r="A327" s="16" t="inlineStr">
        <is>
          <t xml:space="preserve">пролет (суммарный, если многопролетное) от 75 до 90 вкл - </t>
        </is>
      </c>
      <c r="B327" s="16" t="n">
        <v>0.4</v>
      </c>
      <c r="D327" s="22" t="n"/>
      <c r="E327" s="16">
        <f>$F$302*B327</f>
        <v/>
      </c>
      <c r="H327" s="16" t="n">
        <v>90</v>
      </c>
      <c r="I327" s="16">
        <f>IF(AND($N$303&lt;=H327,$N$303&gt;H326),B327,0)</f>
        <v/>
      </c>
    </row>
    <row r="328" hidden="1">
      <c r="A328" s="16" t="inlineStr">
        <is>
          <t xml:space="preserve">пролет (суммарный, если многопролетное) от 90 до 105 вкл - </t>
        </is>
      </c>
      <c r="B328" s="16" t="n">
        <v>0.45</v>
      </c>
      <c r="D328" s="22" t="n"/>
      <c r="H328" s="16" t="n">
        <v>105</v>
      </c>
      <c r="I328" s="16">
        <f>IF(AND($N$303&lt;=H328,$N$303&gt;H327),B328,0)</f>
        <v/>
      </c>
    </row>
    <row r="329" hidden="1">
      <c r="A329" s="16" t="inlineStr">
        <is>
          <t xml:space="preserve">пролет (суммарный, если многопролетное) от 105 до 120 вкл - </t>
        </is>
      </c>
      <c r="B329" s="16" t="n">
        <v>0.5</v>
      </c>
      <c r="D329" s="22" t="n"/>
      <c r="H329" s="16" t="n">
        <v>120</v>
      </c>
      <c r="I329" s="16">
        <f>IF(AND($N$303&lt;=H329,$N$303&gt;H328),B329,0)</f>
        <v/>
      </c>
    </row>
    <row r="330" hidden="1">
      <c r="A330" s="16" t="inlineStr">
        <is>
          <t xml:space="preserve">пролет (суммарный, если многопролетное) от 120 до 135 вкл - </t>
        </is>
      </c>
      <c r="B330" s="16" t="n">
        <v>0.55</v>
      </c>
      <c r="D330" s="22" t="n"/>
      <c r="H330" s="16" t="n">
        <v>135</v>
      </c>
      <c r="I330" s="16">
        <f>IF(AND($N$303&lt;=H330,$N$303&gt;H329),B330,0)</f>
        <v/>
      </c>
    </row>
    <row r="331" hidden="1">
      <c r="A331" s="16" t="inlineStr">
        <is>
          <t xml:space="preserve">пролет (суммарный, если многопролетное) от 135 до 150 вкл - </t>
        </is>
      </c>
      <c r="B331" s="16" t="n">
        <v>0.6</v>
      </c>
      <c r="D331" s="22" t="n"/>
      <c r="H331" s="16" t="n">
        <v>150</v>
      </c>
      <c r="I331" s="16">
        <f>IF(AND($N$303&lt;=H331,$N$303&gt;H330),B331,0)</f>
        <v/>
      </c>
      <c r="J331" s="16">
        <f>IF(F321=0,9999999,SUM(I322:I331,I333))</f>
        <v/>
      </c>
    </row>
    <row r="332" hidden="1">
      <c r="A332" s="21" t="n"/>
      <c r="D332" s="22" t="n"/>
    </row>
    <row r="333" hidden="1" ht="15.75" customHeight="1" thickBot="1">
      <c r="A333" s="23" t="inlineStr">
        <is>
          <t>площадь кровли от 400 м2 -</t>
        </is>
      </c>
      <c r="B333" s="24" t="n">
        <v>0.0015</v>
      </c>
      <c r="C333" s="24" t="n"/>
      <c r="D333" s="25" t="inlineStr">
        <is>
          <t xml:space="preserve"> - за каждые 30 м2</t>
        </is>
      </c>
      <c r="E333" s="16">
        <f>$F$302*B333</f>
        <v/>
      </c>
      <c r="G333" s="16" t="n">
        <v>400</v>
      </c>
      <c r="H333" s="16" t="n">
        <v>30</v>
      </c>
      <c r="I333" s="16">
        <f>IF($I$304&gt;G333,_xlfn.CEILING.MATH(($I$304-G333)/H333,1)*B333,0)</f>
        <v/>
      </c>
    </row>
    <row r="334" hidden="1" ht="15.75" customHeight="1" thickBot="1"/>
    <row r="335" hidden="1" ht="30.75" customHeight="1" thickBot="1">
      <c r="A335" s="92" t="inlineStr">
        <is>
          <t>великан, атлант, атлант-М, спринт-М, спринт-2М, Крон двускатная кровля - СП</t>
        </is>
      </c>
      <c r="F335" s="16">
        <f>IF(AND('Сроки и стоимость'!BJ11=2,'Сроки и стоимость'!BJ31=3),1,0)</f>
        <v/>
      </c>
    </row>
    <row r="336" hidden="1">
      <c r="A336" s="18" t="inlineStr">
        <is>
          <t xml:space="preserve">пролет (суммарный, если многопролетное) до 24 вкл - </t>
        </is>
      </c>
      <c r="B336" s="19" t="n">
        <v>0.05</v>
      </c>
      <c r="C336" s="19" t="n"/>
      <c r="D336" s="20" t="n"/>
      <c r="E336" s="16">
        <f>$F$302*B336</f>
        <v/>
      </c>
      <c r="H336" s="16" t="n">
        <v>24</v>
      </c>
      <c r="I336" s="16">
        <f>IF($N$303&lt;=H336,B336,0)</f>
        <v/>
      </c>
    </row>
    <row r="337" hidden="1">
      <c r="A337" s="21" t="inlineStr">
        <is>
          <t xml:space="preserve">пролет (суммарный, если многопролетное) от 24 до 45 вкл - </t>
        </is>
      </c>
      <c r="B337" s="16" t="n">
        <v>0.1</v>
      </c>
      <c r="D337" s="22" t="n"/>
      <c r="E337" s="16">
        <f>$F$302*B337</f>
        <v/>
      </c>
      <c r="H337" s="16" t="n">
        <v>45</v>
      </c>
      <c r="I337" s="16">
        <f>IF(AND($N$303&lt;=H337,$N$303&gt;H336),B337,0)</f>
        <v/>
      </c>
    </row>
    <row r="338" hidden="1">
      <c r="A338" s="16" t="inlineStr">
        <is>
          <t xml:space="preserve">пролет (суммарный, если многопролетное) от 45 до 60 вкл - </t>
        </is>
      </c>
      <c r="B338" s="31" t="n">
        <v>0.15</v>
      </c>
      <c r="D338" s="22" t="n"/>
      <c r="E338" s="16">
        <f>$F$302*B338</f>
        <v/>
      </c>
      <c r="H338" s="16" t="n">
        <v>60</v>
      </c>
      <c r="I338" s="16">
        <f>IF(AND($N$303&lt;=H338,$N$303&gt;H337),B338,0)</f>
        <v/>
      </c>
    </row>
    <row r="339" hidden="1">
      <c r="A339" s="16" t="inlineStr">
        <is>
          <t xml:space="preserve">пролет (суммарный, если многопролетное) от 60 до 75 вкл - </t>
        </is>
      </c>
      <c r="B339" s="31" t="n">
        <v>0.2</v>
      </c>
      <c r="D339" s="22" t="n"/>
      <c r="H339" s="16" t="n">
        <v>75</v>
      </c>
      <c r="I339" s="16">
        <f>IF(AND($N$303&lt;=H339,$N$303&gt;H338),B339,0)</f>
        <v/>
      </c>
    </row>
    <row r="340" hidden="1">
      <c r="A340" s="16" t="inlineStr">
        <is>
          <t xml:space="preserve">пролет (суммарный, если многопролетное) от 75 до 90 вкл - </t>
        </is>
      </c>
      <c r="B340" s="31" t="n">
        <v>0.25</v>
      </c>
      <c r="D340" s="22" t="n"/>
      <c r="H340" s="16" t="n">
        <v>90</v>
      </c>
      <c r="I340" s="16">
        <f>IF(AND($N$303&lt;=H340,$N$303&gt;H339),B340,0)</f>
        <v/>
      </c>
    </row>
    <row r="341" hidden="1">
      <c r="A341" s="16" t="inlineStr">
        <is>
          <t xml:space="preserve">пролет (суммарный, если многопролетное) от 90 до 105 вкл - </t>
        </is>
      </c>
      <c r="B341" s="31" t="n">
        <v>0.3</v>
      </c>
      <c r="D341" s="22" t="n"/>
      <c r="H341" s="16" t="n">
        <v>105</v>
      </c>
      <c r="I341" s="16">
        <f>IF(AND($N$303&lt;=H341,$N$303&gt;H340),B341,0)</f>
        <v/>
      </c>
    </row>
    <row r="342" hidden="1">
      <c r="A342" s="16" t="inlineStr">
        <is>
          <t xml:space="preserve">пролет (суммарный, если многопролетное) от 105 до 120 вкл - </t>
        </is>
      </c>
      <c r="B342" s="31" t="n">
        <v>0.35</v>
      </c>
      <c r="D342" s="22" t="n"/>
      <c r="H342" s="16" t="n">
        <v>120</v>
      </c>
      <c r="I342" s="16">
        <f>IF(AND($N$303&lt;=H342,$N$303&gt;H341),B342,0)</f>
        <v/>
      </c>
    </row>
    <row r="343" hidden="1">
      <c r="A343" s="16" t="inlineStr">
        <is>
          <t xml:space="preserve">пролет (суммарный, если многопролетное) от 120 до 135 вкл - </t>
        </is>
      </c>
      <c r="B343" s="31" t="n">
        <v>0.4</v>
      </c>
      <c r="D343" s="22" t="n"/>
      <c r="H343" s="16" t="n">
        <v>135</v>
      </c>
      <c r="I343" s="16">
        <f>IF(AND($N$303&lt;=H343,$N$303&gt;H342),B343,0)</f>
        <v/>
      </c>
    </row>
    <row r="344" hidden="1">
      <c r="A344" s="16" t="inlineStr">
        <is>
          <t xml:space="preserve">пролет (суммарный, если многопролетное) от 135 до 150 вкл - </t>
        </is>
      </c>
      <c r="B344" s="31" t="n">
        <v>0.45</v>
      </c>
      <c r="D344" s="22" t="n"/>
      <c r="H344" s="16" t="n">
        <v>150</v>
      </c>
      <c r="I344" s="16">
        <f>IF(AND($N$303&lt;=H344,$N$303&gt;H343),B344,0)</f>
        <v/>
      </c>
      <c r="J344" s="16">
        <f>IF(F335=0,9999999,SUM(I336:I344,I346))</f>
        <v/>
      </c>
    </row>
    <row r="345" hidden="1">
      <c r="A345" s="21" t="n"/>
      <c r="D345" s="22" t="n"/>
    </row>
    <row r="346" hidden="1" ht="15.75" customHeight="1" thickBot="1">
      <c r="A346" s="23" t="inlineStr">
        <is>
          <t>площадь кровли от 400 м2 -</t>
        </is>
      </c>
      <c r="B346" s="24" t="n">
        <v>0.0015</v>
      </c>
      <c r="C346" s="24" t="n"/>
      <c r="D346" s="25" t="inlineStr">
        <is>
          <t xml:space="preserve"> - за каждые 30 м2</t>
        </is>
      </c>
      <c r="E346" s="16">
        <f>$F$302*B346</f>
        <v/>
      </c>
      <c r="G346" s="16" t="n">
        <v>400</v>
      </c>
      <c r="H346" s="16" t="n">
        <v>30</v>
      </c>
      <c r="I346" s="16">
        <f>IF($I$304&gt;G346,_xlfn.CEILING.MATH(($I$304-G346)/H346,1)*B346,0)</f>
        <v/>
      </c>
    </row>
    <row r="347" hidden="1"/>
    <row r="348" hidden="1" ht="15.75" customHeight="1" thickBot="1"/>
    <row r="349" hidden="1" ht="30.75" customHeight="1" thickBot="1">
      <c r="A349" s="92" t="inlineStr">
        <is>
          <t>великан, атлант, атлант-М, спринт-М, спринт-2М, Крон односкатная кровля - профлист</t>
        </is>
      </c>
      <c r="F349" s="16">
        <f>IF(AND('Сроки и стоимость'!BJ11=1,'Сроки и стоимость'!BJ31=1),1,0)</f>
        <v/>
      </c>
    </row>
    <row r="350" hidden="1">
      <c r="A350" s="18" t="inlineStr">
        <is>
          <t xml:space="preserve">пролет (суммарный, если многопролетное) до 8 вкл - </t>
        </is>
      </c>
      <c r="B350" s="19" t="n">
        <v>0.05</v>
      </c>
      <c r="C350" s="19" t="n"/>
      <c r="D350" s="20" t="n"/>
      <c r="E350" s="16">
        <f>$F$302*B350</f>
        <v/>
      </c>
      <c r="H350" s="16" t="n">
        <v>8</v>
      </c>
      <c r="I350" s="16">
        <f>IF($N$303&lt;=H350,B350,0)</f>
        <v/>
      </c>
    </row>
    <row r="351" hidden="1">
      <c r="A351" s="21" t="inlineStr">
        <is>
          <t xml:space="preserve">пролет (суммарный, если многопролетное) от 8 до 15 вкл - </t>
        </is>
      </c>
      <c r="B351" s="16" t="n">
        <v>0.1</v>
      </c>
      <c r="D351" s="22" t="n"/>
      <c r="E351" s="16">
        <f>$F$302*B351</f>
        <v/>
      </c>
      <c r="H351" s="16" t="n">
        <v>15</v>
      </c>
      <c r="I351" s="16">
        <f>IF(AND($N$303&lt;=H351,$N$303&gt;H350),B351,0)</f>
        <v/>
      </c>
    </row>
    <row r="352" hidden="1">
      <c r="A352" s="21" t="inlineStr">
        <is>
          <t xml:space="preserve">пролет (суммарный, если многопролетное) от 15 до 22 вкл - </t>
        </is>
      </c>
      <c r="B352" s="16" t="n">
        <v>0.15</v>
      </c>
      <c r="D352" s="22" t="n"/>
      <c r="E352" s="16">
        <f>$F$302*B352</f>
        <v/>
      </c>
      <c r="H352" s="16" t="n">
        <v>22</v>
      </c>
      <c r="I352" s="16">
        <f>IF(AND($N$303&lt;=H352,$N$303&gt;H351),B352,0)</f>
        <v/>
      </c>
    </row>
    <row r="353" hidden="1">
      <c r="A353" s="21" t="inlineStr">
        <is>
          <t xml:space="preserve">пролет (суммарный, если многопролетное) от 22 до 30 вкл - </t>
        </is>
      </c>
      <c r="B353" s="16" t="n">
        <v>0.2</v>
      </c>
      <c r="D353" s="22" t="n"/>
      <c r="E353" s="16">
        <f>$F$302*B353</f>
        <v/>
      </c>
      <c r="H353" s="16" t="n">
        <v>30</v>
      </c>
      <c r="I353" s="16">
        <f>IF(AND($N$303&lt;=H353,$N$303&gt;H352),B353,0)</f>
        <v/>
      </c>
    </row>
    <row r="354" hidden="1">
      <c r="A354" s="21" t="inlineStr">
        <is>
          <t xml:space="preserve">пролет (суммарный, если многопролетное) от 30 до 37 вкл - </t>
        </is>
      </c>
      <c r="B354" s="16" t="n">
        <v>0.25</v>
      </c>
      <c r="D354" s="22" t="n"/>
      <c r="E354" s="16">
        <f>$F$302*B354</f>
        <v/>
      </c>
      <c r="H354" s="16" t="n">
        <v>37</v>
      </c>
      <c r="I354" s="16">
        <f>IF(AND($N$303&lt;=H354,$N$303&gt;H353),B354,0)</f>
        <v/>
      </c>
    </row>
    <row r="355" hidden="1">
      <c r="A355" s="21" t="inlineStr">
        <is>
          <t xml:space="preserve">пролет (суммарный, если многопролетное) от 37 до 45 вкл - </t>
        </is>
      </c>
      <c r="B355" s="16" t="n">
        <v>0.3</v>
      </c>
      <c r="D355" s="22" t="n"/>
      <c r="E355" s="16">
        <f>$F$302*B355</f>
        <v/>
      </c>
      <c r="H355" s="16" t="n">
        <v>45</v>
      </c>
      <c r="I355" s="16">
        <f>IF(AND($N$303&lt;=H355,$N$303&gt;H354),B355,0)</f>
        <v/>
      </c>
    </row>
    <row r="356" hidden="1">
      <c r="A356" s="16" t="inlineStr">
        <is>
          <t xml:space="preserve">пролет (суммарный, если многопролетное) от 45 до 52 вкл - </t>
        </is>
      </c>
      <c r="B356" s="31" t="n">
        <v>0.35</v>
      </c>
      <c r="D356" s="22" t="n"/>
      <c r="E356" s="16">
        <f>$F$302*B356</f>
        <v/>
      </c>
      <c r="H356" s="16" t="n">
        <v>52</v>
      </c>
      <c r="I356" s="16">
        <f>IF(AND($N$303&lt;=H356,$N$303&gt;H355),B356,0)</f>
        <v/>
      </c>
    </row>
    <row r="357" hidden="1">
      <c r="A357" s="16" t="inlineStr">
        <is>
          <t xml:space="preserve">пролет (суммарный, если многопролетное) от 52 до 60 вкл - </t>
        </is>
      </c>
      <c r="B357" s="16" t="n">
        <v>0.4</v>
      </c>
      <c r="D357" s="22" t="n"/>
      <c r="H357" s="16" t="n">
        <v>60</v>
      </c>
      <c r="I357" s="16">
        <f>IF(AND($N$303&lt;=H357,$N$303&gt;H356),B357,0)</f>
        <v/>
      </c>
    </row>
    <row r="358" hidden="1">
      <c r="A358" s="16" t="inlineStr">
        <is>
          <t xml:space="preserve">пролет (суммарный, если многопролетное) от 60 до 68 вкл - </t>
        </is>
      </c>
      <c r="B358" s="31" t="n">
        <v>0.45</v>
      </c>
      <c r="D358" s="22" t="n"/>
      <c r="H358" s="16" t="n">
        <v>68</v>
      </c>
      <c r="I358" s="16">
        <f>IF(AND($N$303&lt;=H358,$N$303&gt;H357),B358,0)</f>
        <v/>
      </c>
    </row>
    <row r="359" hidden="1">
      <c r="A359" s="16" t="inlineStr">
        <is>
          <t xml:space="preserve">пролет (суммарный, если многопролетное) от 68 до 76 вкл - </t>
        </is>
      </c>
      <c r="B359" s="16" t="n">
        <v>0.5</v>
      </c>
      <c r="D359" s="22" t="n"/>
      <c r="H359" s="16" t="n">
        <v>76</v>
      </c>
      <c r="I359" s="16">
        <f>IF(AND($N$303&lt;=H359,$N$303&gt;H358),B359,0)</f>
        <v/>
      </c>
    </row>
    <row r="360" hidden="1">
      <c r="A360" s="16" t="inlineStr">
        <is>
          <t xml:space="preserve">пролет (суммарный, если многопролетное) от 76 до 84 вкл - </t>
        </is>
      </c>
      <c r="B360" s="31" t="n">
        <v>0.55</v>
      </c>
      <c r="D360" s="22" t="n"/>
      <c r="H360" s="16" t="n">
        <v>84</v>
      </c>
      <c r="I360" s="16">
        <f>IF(AND($N$303&lt;=H360,$N$303&gt;H359),B360,0)</f>
        <v/>
      </c>
    </row>
    <row r="361" hidden="1">
      <c r="A361" s="16" t="inlineStr">
        <is>
          <t xml:space="preserve">пролет (суммарный, если многопролетное) от 84 до 92 вкл - </t>
        </is>
      </c>
      <c r="B361" s="16" t="n">
        <v>0.6</v>
      </c>
      <c r="D361" s="22" t="n"/>
      <c r="H361" s="16" t="n">
        <v>92</v>
      </c>
      <c r="I361" s="16">
        <f>IF(AND($N$303&lt;=H361,$N$303&gt;H360),B361,0)</f>
        <v/>
      </c>
    </row>
    <row r="362" hidden="1">
      <c r="A362" s="16" t="inlineStr">
        <is>
          <t xml:space="preserve">пролет (суммарный, если многопролетное) от 92 до 100 вкл - </t>
        </is>
      </c>
      <c r="B362" s="31" t="n">
        <v>0.65</v>
      </c>
      <c r="D362" s="22" t="n"/>
      <c r="H362" s="16" t="n">
        <v>100</v>
      </c>
      <c r="I362" s="16">
        <f>IF(AND($N$303&lt;=H362,$N$303&gt;H361),B362,0)</f>
        <v/>
      </c>
    </row>
    <row r="363" hidden="1">
      <c r="A363" s="16" t="inlineStr">
        <is>
          <t xml:space="preserve">пролет (суммарный, если многопролетное) от 100 до 108 вкл - </t>
        </is>
      </c>
      <c r="B363" s="16" t="n">
        <v>0.7</v>
      </c>
      <c r="D363" s="22" t="n"/>
      <c r="H363" s="16" t="n">
        <v>108</v>
      </c>
      <c r="I363" s="16">
        <f>IF(AND($N$303&lt;=H363,$N$303&gt;H362),B363,0)</f>
        <v/>
      </c>
    </row>
    <row r="364" hidden="1">
      <c r="A364" s="16" t="inlineStr">
        <is>
          <t xml:space="preserve">пролет (суммарный, если многопролетное) от 108 до 116 вкл - </t>
        </is>
      </c>
      <c r="B364" s="31" t="n">
        <v>0.75</v>
      </c>
      <c r="D364" s="22" t="n"/>
      <c r="H364" s="16" t="n">
        <v>116</v>
      </c>
      <c r="I364" s="16">
        <f>IF(AND($N$303&lt;=H364,$N$303&gt;H363),B364,0)</f>
        <v/>
      </c>
    </row>
    <row r="365" hidden="1">
      <c r="A365" s="16" t="inlineStr">
        <is>
          <t xml:space="preserve">пролет (суммарный, если многопролетное) от 116 до 124 вкл - </t>
        </is>
      </c>
      <c r="B365" s="16" t="n">
        <v>0.8</v>
      </c>
      <c r="D365" s="22" t="n"/>
      <c r="H365" s="16" t="n">
        <v>124</v>
      </c>
      <c r="I365" s="16">
        <f>IF(AND($N$303&lt;=H365,$N$303&gt;H364),B365,0)</f>
        <v/>
      </c>
    </row>
    <row r="366" hidden="1">
      <c r="A366" s="16" t="inlineStr">
        <is>
          <t xml:space="preserve">пролет (суммарный, если многопролетное) от 124 до 132 вкл - </t>
        </is>
      </c>
      <c r="B366" s="31" t="n">
        <v>0.85</v>
      </c>
      <c r="D366" s="22" t="n"/>
      <c r="H366" s="16" t="n">
        <v>132</v>
      </c>
      <c r="I366" s="16">
        <f>IF(AND($N$303&lt;=H366,$N$303&gt;H365),B366,0)</f>
        <v/>
      </c>
    </row>
    <row r="367" hidden="1">
      <c r="A367" s="16" t="inlineStr">
        <is>
          <t xml:space="preserve">пролет (суммарный, если многопролетное) от 132 до 140 вкл - </t>
        </is>
      </c>
      <c r="B367" s="16" t="n">
        <v>0.9</v>
      </c>
      <c r="D367" s="22" t="n"/>
      <c r="H367" s="16" t="n">
        <v>140</v>
      </c>
      <c r="I367" s="16">
        <f>IF(AND($N$303&lt;=H367,$N$303&gt;H366),B367,0)</f>
        <v/>
      </c>
    </row>
    <row r="368" hidden="1">
      <c r="A368" s="16" t="inlineStr">
        <is>
          <t xml:space="preserve">пролет (суммарный, если многопролетное) от 140 до 148 вкл - </t>
        </is>
      </c>
      <c r="B368" s="31" t="n">
        <v>0.95</v>
      </c>
      <c r="D368" s="22" t="n"/>
      <c r="H368" s="16" t="n">
        <v>148</v>
      </c>
      <c r="I368" s="16">
        <f>IF(AND($N$303&lt;=H368,$N$303&gt;H367),B368,0)</f>
        <v/>
      </c>
      <c r="J368" s="16">
        <f>IF(F349=0,9999999,SUM(I350:I368,I370))</f>
        <v/>
      </c>
    </row>
    <row r="369" hidden="1">
      <c r="A369" s="21" t="n"/>
      <c r="D369" s="22" t="n"/>
    </row>
    <row r="370" hidden="1" ht="15.75" customHeight="1" thickBot="1">
      <c r="A370" s="23" t="inlineStr">
        <is>
          <t>площадь кровли от 400 м2 -</t>
        </is>
      </c>
      <c r="B370" s="24" t="n">
        <v>0.001</v>
      </c>
      <c r="C370" s="24" t="n"/>
      <c r="D370" s="25" t="inlineStr">
        <is>
          <t xml:space="preserve"> - за каждые 30 м2</t>
        </is>
      </c>
      <c r="E370" s="16">
        <f>$F$302*B370</f>
        <v/>
      </c>
      <c r="G370" s="16" t="n">
        <v>400</v>
      </c>
      <c r="H370" s="16" t="n">
        <v>30</v>
      </c>
      <c r="I370" s="16">
        <f>IF($I$304&gt;G370,_xlfn.CEILING.MATH(($I$304-G370)/H370,1)*B370,0)</f>
        <v/>
      </c>
    </row>
    <row r="371" hidden="1" ht="15.75" customHeight="1" thickBot="1"/>
    <row r="372" hidden="1" ht="30.75" customHeight="1" thickBot="1">
      <c r="A372" s="93" t="inlineStr">
        <is>
          <t>великан, атлант, атлант-М, спринт-М, спринт-2М, Крон односкатная кровля - СП послойной сборки</t>
        </is>
      </c>
      <c r="F372" s="16">
        <f>IF(AND('Сроки и стоимость'!BJ11=1,'Сроки и стоимость'!BJ31=2),1,0)</f>
        <v/>
      </c>
    </row>
    <row r="373" hidden="1">
      <c r="A373" s="18" t="inlineStr">
        <is>
          <t xml:space="preserve">пролет до 8 вкл - </t>
        </is>
      </c>
      <c r="B373" s="19" t="n">
        <v>0.1</v>
      </c>
      <c r="C373" s="19" t="n"/>
      <c r="D373" s="20" t="n"/>
      <c r="E373" s="16">
        <f>$F$302*B373</f>
        <v/>
      </c>
      <c r="H373" s="16" t="n">
        <v>8</v>
      </c>
      <c r="I373" s="16">
        <f>IF($N$303&lt;=H373,B373,0)</f>
        <v/>
      </c>
    </row>
    <row r="374" hidden="1">
      <c r="A374" s="21" t="inlineStr">
        <is>
          <t xml:space="preserve">пролет от 8 до 15 вкл - </t>
        </is>
      </c>
      <c r="B374" s="16" t="n">
        <v>0.2</v>
      </c>
      <c r="D374" s="22" t="n"/>
      <c r="E374" s="16">
        <f>$F$302*B374</f>
        <v/>
      </c>
      <c r="H374" s="16" t="n">
        <v>15</v>
      </c>
      <c r="I374" s="16">
        <f>IF(AND($N$303&lt;=H374,$N$303&gt;H373),B374,0)</f>
        <v/>
      </c>
    </row>
    <row r="375" hidden="1">
      <c r="A375" s="21" t="inlineStr">
        <is>
          <t xml:space="preserve">пролет от 15 до 22 вкл - </t>
        </is>
      </c>
      <c r="B375" s="16" t="n">
        <v>0.3</v>
      </c>
      <c r="D375" s="22" t="n"/>
      <c r="E375" s="16">
        <f>$F$302*B375</f>
        <v/>
      </c>
      <c r="H375" s="16" t="n">
        <v>22</v>
      </c>
      <c r="I375" s="16">
        <f>IF(AND($N$303&lt;=H375,$N$303&gt;H374),B375,0)</f>
        <v/>
      </c>
    </row>
    <row r="376" hidden="1">
      <c r="A376" s="21" t="inlineStr">
        <is>
          <t xml:space="preserve">пролет от 22 до 30 вкл - </t>
        </is>
      </c>
      <c r="B376" s="16" t="n">
        <v>0.4</v>
      </c>
      <c r="D376" s="22" t="n"/>
      <c r="E376" s="16">
        <f>$F$302*B376</f>
        <v/>
      </c>
      <c r="H376" s="16" t="n">
        <v>30</v>
      </c>
      <c r="I376" s="16">
        <f>IF(AND($N$303&lt;=H376,$N$303&gt;H375),B376,0)</f>
        <v/>
      </c>
    </row>
    <row r="377" hidden="1">
      <c r="A377" s="21" t="inlineStr">
        <is>
          <t xml:space="preserve">пролет от 30 до 37 вкл - </t>
        </is>
      </c>
      <c r="B377" s="16" t="n">
        <v>0.5</v>
      </c>
      <c r="D377" s="22" t="n"/>
      <c r="E377" s="16">
        <f>$F$302*B377</f>
        <v/>
      </c>
      <c r="H377" s="16" t="n">
        <v>37</v>
      </c>
      <c r="I377" s="16">
        <f>IF(AND($N$303&lt;=H377,$N$303&gt;H376),B377,0)</f>
        <v/>
      </c>
    </row>
    <row r="378" hidden="1">
      <c r="A378" s="21" t="inlineStr">
        <is>
          <t xml:space="preserve">пролет от 37 до 45 вкл - </t>
        </is>
      </c>
      <c r="B378" s="16" t="n">
        <v>0.6</v>
      </c>
      <c r="D378" s="22" t="n"/>
      <c r="E378" s="16">
        <f>$F$302*B378</f>
        <v/>
      </c>
      <c r="H378" s="16" t="n">
        <v>45</v>
      </c>
      <c r="I378" s="16">
        <f>IF(AND($N$303&lt;=H378,$N$303&gt;H377),B378,0)</f>
        <v/>
      </c>
    </row>
    <row r="379" hidden="1">
      <c r="A379" s="21" t="inlineStr">
        <is>
          <t xml:space="preserve">пролет от 45 до 52 вкл - </t>
        </is>
      </c>
      <c r="B379" s="31" t="n">
        <v>0.7</v>
      </c>
      <c r="C379" s="31" t="n"/>
      <c r="D379" s="22" t="n"/>
      <c r="E379" s="16">
        <f>$F$302*B379</f>
        <v/>
      </c>
      <c r="H379" s="16" t="n">
        <v>52</v>
      </c>
      <c r="I379" s="16">
        <f>IF(AND($N$303&lt;=H379,$N$303&gt;H378),B379,0)</f>
        <v/>
      </c>
    </row>
    <row r="380" hidden="1">
      <c r="A380" s="16" t="inlineStr">
        <is>
          <t xml:space="preserve">пролет (суммарный, если многопролетное) от 52 до 60 вкл - </t>
        </is>
      </c>
      <c r="B380" s="16" t="n">
        <v>0.8</v>
      </c>
      <c r="C380" s="31" t="n"/>
      <c r="D380" s="22" t="n"/>
      <c r="H380" s="16" t="n">
        <v>60</v>
      </c>
      <c r="I380" s="16">
        <f>IF(AND($N$303&lt;=H380,$N$303&gt;H379),B380,0)</f>
        <v/>
      </c>
    </row>
    <row r="381" hidden="1">
      <c r="A381" s="16" t="inlineStr">
        <is>
          <t xml:space="preserve">пролет (суммарный, если многопролетное) от 60 до 68 вкл - </t>
        </is>
      </c>
      <c r="B381" s="31" t="n">
        <v>0.9</v>
      </c>
      <c r="C381" s="31" t="n"/>
      <c r="D381" s="22" t="n"/>
      <c r="H381" s="16" t="n">
        <v>68</v>
      </c>
      <c r="I381" s="16">
        <f>IF(AND($N$303&lt;=H381,$N$303&gt;H380),B381,0)</f>
        <v/>
      </c>
    </row>
    <row r="382" hidden="1">
      <c r="A382" s="16" t="inlineStr">
        <is>
          <t xml:space="preserve">пролет (суммарный, если многопролетное) от 68 до 76 вкл - </t>
        </is>
      </c>
      <c r="B382" s="16" t="n">
        <v>1</v>
      </c>
      <c r="C382" s="31" t="n"/>
      <c r="D382" s="22" t="n"/>
      <c r="H382" s="16" t="n">
        <v>76</v>
      </c>
      <c r="I382" s="16">
        <f>IF(AND($N$303&lt;=H382,$N$303&gt;H381),B382,0)</f>
        <v/>
      </c>
    </row>
    <row r="383" hidden="1">
      <c r="A383" s="16" t="inlineStr">
        <is>
          <t xml:space="preserve">пролет (суммарный, если многопролетное) от 76 до 84 вкл - </t>
        </is>
      </c>
      <c r="B383" s="31" t="n">
        <v>1.1</v>
      </c>
      <c r="C383" s="31" t="n"/>
      <c r="D383" s="22" t="n"/>
      <c r="H383" s="16" t="n">
        <v>84</v>
      </c>
      <c r="I383" s="16">
        <f>IF(AND($N$303&lt;=H383,$N$303&gt;H382),B383,0)</f>
        <v/>
      </c>
    </row>
    <row r="384" hidden="1">
      <c r="A384" s="16" t="inlineStr">
        <is>
          <t xml:space="preserve">пролет (суммарный, если многопролетное) от 84 до 92 вкл - </t>
        </is>
      </c>
      <c r="B384" s="16" t="n">
        <v>1.2</v>
      </c>
      <c r="C384" s="31" t="n"/>
      <c r="D384" s="22" t="n"/>
      <c r="H384" s="16" t="n">
        <v>92</v>
      </c>
      <c r="I384" s="16">
        <f>IF(AND($N$303&lt;=H384,$N$303&gt;H383),B384,0)</f>
        <v/>
      </c>
    </row>
    <row r="385" hidden="1">
      <c r="A385" s="16" t="inlineStr">
        <is>
          <t xml:space="preserve">пролет (суммарный, если многопролетное) от 92 до 100 вкл - </t>
        </is>
      </c>
      <c r="B385" s="31" t="n">
        <v>1.3</v>
      </c>
      <c r="C385" s="31" t="n"/>
      <c r="D385" s="22" t="n"/>
      <c r="H385" s="16" t="n">
        <v>100</v>
      </c>
      <c r="I385" s="16">
        <f>IF(AND($N$303&lt;=H385,$N$303&gt;H384),B385,0)</f>
        <v/>
      </c>
    </row>
    <row r="386" hidden="1">
      <c r="A386" s="16" t="inlineStr">
        <is>
          <t xml:space="preserve">пролет (суммарный, если многопролетное) от 100 до 108 вкл - </t>
        </is>
      </c>
      <c r="B386" s="16" t="n">
        <v>1.4</v>
      </c>
      <c r="C386" s="31" t="n"/>
      <c r="D386" s="22" t="n"/>
      <c r="H386" s="16" t="n">
        <v>108</v>
      </c>
      <c r="I386" s="16">
        <f>IF(AND($N$303&lt;=H386,$N$303&gt;H385),B386,0)</f>
        <v/>
      </c>
    </row>
    <row r="387" hidden="1">
      <c r="A387" s="16" t="inlineStr">
        <is>
          <t xml:space="preserve">пролет (суммарный, если многопролетное) от 108 до 116 вкл - </t>
        </is>
      </c>
      <c r="B387" s="31" t="n">
        <v>1.5</v>
      </c>
      <c r="C387" s="31" t="n"/>
      <c r="D387" s="22" t="n"/>
      <c r="H387" s="16" t="n">
        <v>116</v>
      </c>
      <c r="I387" s="16">
        <f>IF(AND($N$303&lt;=H387,$N$303&gt;H386),B387,0)</f>
        <v/>
      </c>
    </row>
    <row r="388" hidden="1">
      <c r="A388" s="16" t="inlineStr">
        <is>
          <t xml:space="preserve">пролет (суммарный, если многопролетное) от 116 до 124 вкл - </t>
        </is>
      </c>
      <c r="B388" s="16" t="n">
        <v>1.6</v>
      </c>
      <c r="C388" s="31" t="n"/>
      <c r="D388" s="22" t="n"/>
      <c r="H388" s="16" t="n">
        <v>124</v>
      </c>
      <c r="I388" s="16">
        <f>IF(AND($N$303&lt;=H388,$N$303&gt;H387),B388,0)</f>
        <v/>
      </c>
    </row>
    <row r="389" hidden="1">
      <c r="A389" s="16" t="inlineStr">
        <is>
          <t xml:space="preserve">пролет (суммарный, если многопролетное) от 124 до 132 вкл - </t>
        </is>
      </c>
      <c r="B389" s="31" t="n">
        <v>1.7</v>
      </c>
      <c r="C389" s="31" t="n"/>
      <c r="D389" s="22" t="n"/>
      <c r="H389" s="16" t="n">
        <v>132</v>
      </c>
      <c r="I389" s="16">
        <f>IF(AND($N$303&lt;=H389,$N$303&gt;H388),B389,0)</f>
        <v/>
      </c>
    </row>
    <row r="390" hidden="1">
      <c r="A390" s="16" t="inlineStr">
        <is>
          <t xml:space="preserve">пролет (суммарный, если многопролетное) от 132 до 140 вкл - </t>
        </is>
      </c>
      <c r="B390" s="16" t="n">
        <v>1.8</v>
      </c>
      <c r="C390" s="31" t="n"/>
      <c r="D390" s="22" t="n"/>
      <c r="H390" s="16" t="n">
        <v>140</v>
      </c>
      <c r="I390" s="16">
        <f>IF(AND($N$303&lt;=H390,$N$303&gt;H389),B390,0)</f>
        <v/>
      </c>
    </row>
    <row r="391" hidden="1">
      <c r="A391" s="16" t="inlineStr">
        <is>
          <t xml:space="preserve">пролет (суммарный, если многопролетное) от 140 до 148 вкл - </t>
        </is>
      </c>
      <c r="B391" s="31" t="n">
        <v>1.9</v>
      </c>
      <c r="C391" s="31" t="n"/>
      <c r="D391" s="22" t="n"/>
      <c r="H391" s="16" t="n">
        <v>148</v>
      </c>
      <c r="I391" s="16">
        <f>IF(AND($N$303&lt;=H391,$N$303&gt;H390),B391,0)</f>
        <v/>
      </c>
      <c r="J391" s="16">
        <f>IF(F372=0,9999999,SUM(I373:I391,I393))</f>
        <v/>
      </c>
    </row>
    <row r="392" hidden="1">
      <c r="A392" s="21" t="n"/>
      <c r="D392" s="22" t="n"/>
    </row>
    <row r="393" hidden="1" ht="15.75" customHeight="1" thickBot="1">
      <c r="A393" s="23" t="inlineStr">
        <is>
          <t>площадь кровли от 400 м2 -</t>
        </is>
      </c>
      <c r="B393" s="24" t="n">
        <v>0.002</v>
      </c>
      <c r="C393" s="24" t="n"/>
      <c r="D393" s="25" t="inlineStr">
        <is>
          <t xml:space="preserve"> - за каждые 30 м2</t>
        </is>
      </c>
      <c r="E393" s="16">
        <f>$F$302*B393</f>
        <v/>
      </c>
      <c r="G393" s="16" t="n">
        <v>400</v>
      </c>
      <c r="H393" s="16" t="n">
        <v>30</v>
      </c>
      <c r="I393" s="16">
        <f>IF($I$304&gt;G393,_xlfn.CEILING.MATH(($I$304-G393)/H393,1)*B393,0)</f>
        <v/>
      </c>
    </row>
    <row r="394" hidden="1" ht="15.75" customHeight="1" thickBot="1"/>
    <row r="395" hidden="1" ht="30.75" customHeight="1" thickBot="1">
      <c r="A395" s="93" t="inlineStr">
        <is>
          <t>великан, атлант, атлант-М, спринт-М, спринт-2М, Крон односкатная кровля - СП</t>
        </is>
      </c>
      <c r="F395" s="16">
        <f>IF(AND('Сроки и стоимость'!BJ11=1,'Сроки и стоимость'!BJ31=3),1,0)</f>
        <v/>
      </c>
    </row>
    <row r="396" hidden="1">
      <c r="A396" s="18" t="inlineStr">
        <is>
          <t xml:space="preserve">пролет до 12 вкл - </t>
        </is>
      </c>
      <c r="B396" s="19" t="n">
        <v>0.05</v>
      </c>
      <c r="C396" s="19" t="n"/>
      <c r="D396" s="20" t="n"/>
      <c r="E396" s="16">
        <f>$F$302*B396</f>
        <v/>
      </c>
      <c r="H396" s="16" t="n">
        <v>12</v>
      </c>
      <c r="I396" s="16">
        <f>IF($N$303&lt;=H396,B396,0)</f>
        <v/>
      </c>
    </row>
    <row r="397" hidden="1">
      <c r="A397" s="21" t="inlineStr">
        <is>
          <t xml:space="preserve">пролет от 12 до 23 вкл - </t>
        </is>
      </c>
      <c r="B397" s="16" t="n">
        <v>0.1</v>
      </c>
      <c r="D397" s="22" t="n"/>
      <c r="E397" s="16">
        <f>$F$302*B397</f>
        <v/>
      </c>
      <c r="H397" s="16" t="n">
        <v>23</v>
      </c>
      <c r="I397" s="16">
        <f>IF(AND($N$303&lt;=H397,$N$303&gt;H396),B397,0)</f>
        <v/>
      </c>
    </row>
    <row r="398" hidden="1">
      <c r="A398" s="21" t="inlineStr">
        <is>
          <t xml:space="preserve">пролет от 23 до 34 вкл - </t>
        </is>
      </c>
      <c r="B398" s="16" t="n">
        <v>0.15</v>
      </c>
      <c r="D398" s="22" t="n"/>
      <c r="E398" s="16">
        <f>$F$302*B398</f>
        <v/>
      </c>
      <c r="H398" s="16" t="n">
        <v>34</v>
      </c>
      <c r="I398" s="16">
        <f>IF(AND($N$303&lt;=H398,$N$303&gt;H397),B398,0)</f>
        <v/>
      </c>
    </row>
    <row r="399" hidden="1">
      <c r="A399" s="21" t="inlineStr">
        <is>
          <t xml:space="preserve">пролет от 34 до 45 вкл - </t>
        </is>
      </c>
      <c r="B399" s="16" t="n">
        <v>0.2</v>
      </c>
      <c r="D399" s="22" t="n"/>
      <c r="E399" s="16">
        <f>$F$302*B399</f>
        <v/>
      </c>
      <c r="H399" s="16" t="n">
        <v>45</v>
      </c>
      <c r="I399" s="16">
        <f>IF(AND($N$303&lt;=H399,$N$303&gt;H398),B399,0)</f>
        <v/>
      </c>
    </row>
    <row r="400" hidden="1">
      <c r="A400" s="21" t="inlineStr">
        <is>
          <t xml:space="preserve">пролет от 45 до 56 вкл - </t>
        </is>
      </c>
      <c r="B400" s="31" t="n">
        <v>0.3</v>
      </c>
      <c r="C400" s="31" t="n"/>
      <c r="D400" s="22" t="n"/>
      <c r="E400" s="16">
        <f>$F$302*B400</f>
        <v/>
      </c>
      <c r="H400" s="16" t="n">
        <v>56</v>
      </c>
      <c r="I400" s="16">
        <f>IF(AND($N$303&lt;=H400,$N$303&gt;H399),B400,0)</f>
        <v/>
      </c>
    </row>
    <row r="401" hidden="1">
      <c r="A401" s="21" t="inlineStr">
        <is>
          <t xml:space="preserve">пролет от 56 до 67 вкл - </t>
        </is>
      </c>
      <c r="B401" s="16" t="n">
        <v>0.4</v>
      </c>
      <c r="C401" s="31" t="n"/>
      <c r="D401" s="22" t="n"/>
      <c r="H401" s="16" t="n">
        <v>67</v>
      </c>
      <c r="I401" s="16">
        <f>IF(AND($N$303&lt;=H401,$N$303&gt;H400),B401,0)</f>
        <v/>
      </c>
    </row>
    <row r="402" hidden="1">
      <c r="A402" s="21" t="inlineStr">
        <is>
          <t xml:space="preserve">пролет от 67 до 78 вкл - </t>
        </is>
      </c>
      <c r="B402" s="31" t="n">
        <v>0.5</v>
      </c>
      <c r="C402" s="31" t="n"/>
      <c r="D402" s="22" t="n"/>
      <c r="H402" s="16" t="n">
        <v>78</v>
      </c>
      <c r="I402" s="16">
        <f>IF(AND($N$303&lt;=H402,$N$303&gt;H401),B402,0)</f>
        <v/>
      </c>
    </row>
    <row r="403" hidden="1">
      <c r="A403" s="21" t="inlineStr">
        <is>
          <t xml:space="preserve">пролет от 78 до 89 вкл - </t>
        </is>
      </c>
      <c r="B403" s="16" t="n">
        <v>0.6</v>
      </c>
      <c r="C403" s="31" t="n"/>
      <c r="D403" s="22" t="n"/>
      <c r="H403" s="16" t="n">
        <v>89</v>
      </c>
      <c r="I403" s="16">
        <f>IF(AND($N$303&lt;=H403,$N$303&gt;H402),B403,0)</f>
        <v/>
      </c>
    </row>
    <row r="404" hidden="1">
      <c r="A404" s="21" t="inlineStr">
        <is>
          <t xml:space="preserve">пролет от 89 до 100 вкл - </t>
        </is>
      </c>
      <c r="B404" s="31" t="n">
        <v>0.7</v>
      </c>
      <c r="C404" s="31" t="n"/>
      <c r="D404" s="22" t="n"/>
      <c r="H404" s="16" t="n">
        <v>100</v>
      </c>
      <c r="I404" s="16">
        <f>IF(AND($N$303&lt;=H404,$N$303&gt;H403),B404,0)</f>
        <v/>
      </c>
    </row>
    <row r="405" hidden="1">
      <c r="A405" s="21" t="inlineStr">
        <is>
          <t xml:space="preserve">пролет от 100 до 111 вкл - </t>
        </is>
      </c>
      <c r="B405" s="16" t="n">
        <v>0.8</v>
      </c>
      <c r="C405" s="31" t="n"/>
      <c r="D405" s="22" t="n"/>
      <c r="H405" s="16" t="n">
        <v>111</v>
      </c>
      <c r="I405" s="16">
        <f>IF(AND($N$303&lt;=H405,$N$303&gt;H404),B405,0)</f>
        <v/>
      </c>
    </row>
    <row r="406" hidden="1">
      <c r="A406" s="21" t="inlineStr">
        <is>
          <t xml:space="preserve">пролет от 111 до 122 вкл - </t>
        </is>
      </c>
      <c r="B406" s="31" t="n">
        <v>0.9</v>
      </c>
      <c r="C406" s="31" t="n"/>
      <c r="D406" s="22" t="n"/>
      <c r="H406" s="16" t="n">
        <v>122</v>
      </c>
      <c r="I406" s="16">
        <f>IF(AND($N$303&lt;=H406,$N$303&gt;H405),B406,0)</f>
        <v/>
      </c>
    </row>
    <row r="407" hidden="1">
      <c r="A407" s="21" t="inlineStr">
        <is>
          <t xml:space="preserve">пролет от 122 до 133 вкл - </t>
        </is>
      </c>
      <c r="B407" s="16" t="n">
        <v>1</v>
      </c>
      <c r="C407" s="31" t="n"/>
      <c r="D407" s="22" t="n"/>
      <c r="H407" s="16" t="n">
        <v>133</v>
      </c>
      <c r="I407" s="16">
        <f>IF(AND($N$303&lt;=H407,$N$303&gt;H406),B407,0)</f>
        <v/>
      </c>
    </row>
    <row r="408" hidden="1">
      <c r="A408" s="21" t="inlineStr">
        <is>
          <t xml:space="preserve">пролет от 133 до 144 вкл - </t>
        </is>
      </c>
      <c r="B408" s="31" t="n">
        <v>1.1</v>
      </c>
      <c r="C408" s="31" t="n"/>
      <c r="D408" s="22" t="n"/>
      <c r="H408" s="16" t="n">
        <v>144</v>
      </c>
      <c r="I408" s="16">
        <f>IF(AND($N$303&lt;=H408,$N$303&gt;H407),B408,0)</f>
        <v/>
      </c>
      <c r="J408" s="16">
        <f>IF(F395=0,9999999,SUM(I396:I408,I410))</f>
        <v/>
      </c>
    </row>
    <row r="409" hidden="1">
      <c r="A409" s="21" t="n"/>
      <c r="D409" s="22" t="n"/>
    </row>
    <row r="410" hidden="1" ht="15.75" customHeight="1" thickBot="1">
      <c r="A410" s="23" t="inlineStr">
        <is>
          <t>площадь кровли от 400 м2 -</t>
        </is>
      </c>
      <c r="B410" s="24" t="n">
        <v>0.0015</v>
      </c>
      <c r="C410" s="24" t="n"/>
      <c r="D410" s="25" t="inlineStr">
        <is>
          <t xml:space="preserve"> - за каждые 30 м2</t>
        </is>
      </c>
      <c r="E410" s="16">
        <f>$F$302*B410</f>
        <v/>
      </c>
      <c r="G410" s="16" t="n">
        <v>400</v>
      </c>
      <c r="H410" s="16" t="n">
        <v>30</v>
      </c>
      <c r="I410" s="16">
        <f>IF($I$304&gt;G410,_xlfn.CEILING.MATH(($I$304-G410)/H410,1)*B410,0)</f>
        <v/>
      </c>
    </row>
    <row r="411" hidden="1"/>
    <row r="412" hidden="1" ht="15.75" customHeight="1" thickBot="1"/>
    <row r="413" hidden="1" ht="15.75" customHeight="1" thickBot="1">
      <c r="A413" s="93" t="inlineStr">
        <is>
          <t>великан, атлант, атлант-М плоская кровля - ПВХ</t>
        </is>
      </c>
      <c r="F413" s="16">
        <f>IF(AND('Сроки и стоимость'!BJ11=3,'Сроки и стоимость'!BJ31=4),1,0)</f>
        <v/>
      </c>
    </row>
    <row r="414" hidden="1">
      <c r="A414" s="18" t="inlineStr">
        <is>
          <t xml:space="preserve">пролет до 8 вкл - </t>
        </is>
      </c>
      <c r="B414" s="19" t="n">
        <v>0.45</v>
      </c>
      <c r="C414" s="45" t="n"/>
      <c r="D414" s="46" t="inlineStr">
        <is>
          <t>0,05+0,4=0,45 за профлист + ПВХ</t>
        </is>
      </c>
      <c r="E414" s="16">
        <f>$F$302*B414</f>
        <v/>
      </c>
      <c r="H414" s="16" t="n">
        <v>8</v>
      </c>
      <c r="I414" s="16">
        <f>IF($N$303&lt;=H414,B414,0)</f>
        <v/>
      </c>
    </row>
    <row r="415" hidden="1">
      <c r="A415" s="21" t="inlineStr">
        <is>
          <t xml:space="preserve">пролет от 8 до 15 вкл - </t>
        </is>
      </c>
      <c r="B415" s="16" t="n">
        <v>0.55</v>
      </c>
      <c r="C415" s="17" t="n"/>
      <c r="D415" s="40" t="inlineStr">
        <is>
          <t>0,1+0,45=0,55 за профлист + ПВХ</t>
        </is>
      </c>
      <c r="E415" s="16">
        <f>$F$302*B415</f>
        <v/>
      </c>
      <c r="H415" s="16" t="n">
        <v>15</v>
      </c>
      <c r="I415" s="16">
        <f>IF(AND($N$303&lt;=H415,$N$303&gt;H414),B415,0)</f>
        <v/>
      </c>
    </row>
    <row r="416" hidden="1">
      <c r="A416" s="21" t="inlineStr">
        <is>
          <t xml:space="preserve">пролет от 15 до 22 вкл - </t>
        </is>
      </c>
      <c r="B416" s="16" t="n">
        <v>0.65</v>
      </c>
      <c r="C416" s="17" t="n"/>
      <c r="D416" s="40" t="inlineStr">
        <is>
          <t>0,15+0,5=0,65 за профлист + ПВХ</t>
        </is>
      </c>
      <c r="E416" s="16">
        <f>$F$302*B416</f>
        <v/>
      </c>
      <c r="H416" s="16" t="n">
        <v>22</v>
      </c>
      <c r="I416" s="16">
        <f>IF(AND($N$303&lt;=H416,$N$303&gt;H415),B416,0)</f>
        <v/>
      </c>
    </row>
    <row r="417" hidden="1">
      <c r="A417" s="21" t="inlineStr">
        <is>
          <t xml:space="preserve">пролет от 22 до 30 вкл - </t>
        </is>
      </c>
      <c r="B417" s="16" t="n">
        <v>0.8</v>
      </c>
      <c r="C417" s="17" t="n"/>
      <c r="D417" s="40" t="inlineStr">
        <is>
          <t>0,2+0,6=0,8 за профлист + ПВХ</t>
        </is>
      </c>
      <c r="E417" s="16">
        <f>$F$302*B417</f>
        <v/>
      </c>
      <c r="H417" s="16" t="n">
        <v>30</v>
      </c>
      <c r="I417" s="16">
        <f>IF(AND($N$303&lt;=H417,$N$303&gt;H416),B417,0)</f>
        <v/>
      </c>
    </row>
    <row r="418" hidden="1">
      <c r="A418" s="21" t="inlineStr">
        <is>
          <t xml:space="preserve">пролет от 30 до 37 вкл - </t>
        </is>
      </c>
      <c r="B418" s="16" t="n">
        <v>0.95</v>
      </c>
      <c r="C418" s="17" t="n"/>
      <c r="D418" s="40" t="inlineStr">
        <is>
          <t>0,25+0,7=0,95 за профлист + ПВХ</t>
        </is>
      </c>
      <c r="E418" s="16">
        <f>$F$302*B418</f>
        <v/>
      </c>
      <c r="H418" s="16" t="n">
        <v>37</v>
      </c>
      <c r="I418" s="16">
        <f>IF(AND($N$303&lt;=H418,$N$303&gt;H417),B418,0)</f>
        <v/>
      </c>
    </row>
    <row r="419" hidden="1">
      <c r="A419" s="21" t="inlineStr">
        <is>
          <t xml:space="preserve">пролет от 37 до 45 вкл - </t>
        </is>
      </c>
      <c r="B419" s="16" t="n">
        <v>1.1</v>
      </c>
      <c r="C419" s="17" t="n"/>
      <c r="D419" s="40" t="inlineStr">
        <is>
          <t>0,3+0,8=1,1 за профлист + ПВХ</t>
        </is>
      </c>
      <c r="E419" s="16">
        <f>$F$302*B419</f>
        <v/>
      </c>
      <c r="H419" s="16" t="n">
        <v>45</v>
      </c>
      <c r="I419" s="16">
        <f>IF(AND($N$303&lt;=H419,$N$303&gt;H418),B419,0)</f>
        <v/>
      </c>
    </row>
    <row r="420" hidden="1">
      <c r="A420" s="21" t="inlineStr">
        <is>
          <t xml:space="preserve">пролет от 45 до 52 вкл - </t>
        </is>
      </c>
      <c r="B420" s="31" t="n">
        <v>1.25</v>
      </c>
      <c r="C420" s="94" t="n"/>
      <c r="D420" s="40" t="inlineStr">
        <is>
          <t>0,35+0,9=1,25 за профлист + ПВХ</t>
        </is>
      </c>
      <c r="E420" s="16">
        <f>$F$302*B420</f>
        <v/>
      </c>
      <c r="H420" s="16" t="n">
        <v>52</v>
      </c>
      <c r="I420" s="16">
        <f>IF(AND($N$303&lt;=H420,$N$303&gt;H419),B420,0)</f>
        <v/>
      </c>
    </row>
    <row r="421" hidden="1">
      <c r="A421" s="16" t="inlineStr">
        <is>
          <t xml:space="preserve">пролет (суммарный, если многопролетное) от 52 до 60 вкл - </t>
        </is>
      </c>
      <c r="B421" s="16" t="n">
        <v>1.4</v>
      </c>
      <c r="C421" s="94" t="n"/>
      <c r="D421" s="40" t="n"/>
      <c r="H421" s="16" t="n">
        <v>60</v>
      </c>
      <c r="I421" s="16">
        <f>IF(AND($N$303&lt;=H421,$N$303&gt;H420),B421,0)</f>
        <v/>
      </c>
    </row>
    <row r="422" hidden="1">
      <c r="A422" s="16" t="inlineStr">
        <is>
          <t xml:space="preserve">пролет (суммарный, если многопролетное) от 60 до 68 вкл - </t>
        </is>
      </c>
      <c r="B422" s="31" t="n">
        <v>1.55</v>
      </c>
      <c r="C422" s="94" t="n"/>
      <c r="D422" s="40" t="n"/>
      <c r="H422" s="16" t="n">
        <v>68</v>
      </c>
      <c r="I422" s="16">
        <f>IF(AND($N$303&lt;=H422,$N$303&gt;H421),B422,0)</f>
        <v/>
      </c>
    </row>
    <row r="423" hidden="1">
      <c r="A423" s="16" t="inlineStr">
        <is>
          <t xml:space="preserve">пролет (суммарный, если многопролетное) от 68 до 76 вкл - </t>
        </is>
      </c>
      <c r="B423" s="16" t="n">
        <v>1.7</v>
      </c>
      <c r="C423" s="94" t="n"/>
      <c r="D423" s="40" t="n"/>
      <c r="H423" s="16" t="n">
        <v>76</v>
      </c>
      <c r="I423" s="16">
        <f>IF(AND($N$303&lt;=H423,$N$303&gt;H422),B423,0)</f>
        <v/>
      </c>
    </row>
    <row r="424" hidden="1">
      <c r="A424" s="16" t="inlineStr">
        <is>
          <t xml:space="preserve">пролет (суммарный, если многопролетное) от 76 до 84 вкл - </t>
        </is>
      </c>
      <c r="B424" s="31" t="n">
        <v>1.85</v>
      </c>
      <c r="C424" s="94" t="n"/>
      <c r="D424" s="40" t="n"/>
      <c r="H424" s="16" t="n">
        <v>84</v>
      </c>
      <c r="I424" s="16">
        <f>IF(AND($N$303&lt;=H424,$N$303&gt;H423),B424,0)</f>
        <v/>
      </c>
    </row>
    <row r="425" hidden="1">
      <c r="A425" s="16" t="inlineStr">
        <is>
          <t xml:space="preserve">пролет (суммарный, если многопролетное) от 84 до 92 вкл - </t>
        </is>
      </c>
      <c r="B425" s="16" t="n">
        <v>2</v>
      </c>
      <c r="C425" s="94" t="n"/>
      <c r="D425" s="40" t="n"/>
      <c r="H425" s="16" t="n">
        <v>92</v>
      </c>
      <c r="I425" s="16">
        <f>IF(AND($N$303&lt;=H425,$N$303&gt;H424),B425,0)</f>
        <v/>
      </c>
    </row>
    <row r="426" hidden="1">
      <c r="A426" s="16" t="inlineStr">
        <is>
          <t xml:space="preserve">пролет (суммарный, если многопролетное) от 92 до 100 вкл - </t>
        </is>
      </c>
      <c r="B426" s="31" t="n">
        <v>2.15</v>
      </c>
      <c r="C426" s="94" t="n"/>
      <c r="D426" s="40" t="n"/>
      <c r="H426" s="16" t="n">
        <v>100</v>
      </c>
      <c r="I426" s="16">
        <f>IF(AND($N$303&lt;=H426,$N$303&gt;H425),B426,0)</f>
        <v/>
      </c>
    </row>
    <row r="427" hidden="1">
      <c r="A427" s="16" t="inlineStr">
        <is>
          <t xml:space="preserve">пролет (суммарный, если многопролетное) от 100 до 108 вкл - </t>
        </is>
      </c>
      <c r="B427" s="16" t="n">
        <v>2.3</v>
      </c>
      <c r="C427" s="94" t="n"/>
      <c r="D427" s="40" t="n"/>
      <c r="H427" s="16" t="n">
        <v>108</v>
      </c>
      <c r="I427" s="16">
        <f>IF(AND($N$303&lt;=H427,$N$303&gt;H426),B427,0)</f>
        <v/>
      </c>
    </row>
    <row r="428" hidden="1">
      <c r="A428" s="16" t="inlineStr">
        <is>
          <t xml:space="preserve">пролет (суммарный, если многопролетное) от 108 до 116 вкл - </t>
        </is>
      </c>
      <c r="B428" s="31" t="n">
        <v>2.45</v>
      </c>
      <c r="C428" s="94" t="n"/>
      <c r="D428" s="40" t="n"/>
      <c r="H428" s="16" t="n">
        <v>116</v>
      </c>
      <c r="I428" s="16">
        <f>IF(AND($N$303&lt;=H428,$N$303&gt;H427),B428,0)</f>
        <v/>
      </c>
    </row>
    <row r="429" hidden="1">
      <c r="A429" s="16" t="inlineStr">
        <is>
          <t xml:space="preserve">пролет (суммарный, если многопролетное) от 116 до 124 вкл - </t>
        </is>
      </c>
      <c r="B429" s="16" t="n">
        <v>2.6</v>
      </c>
      <c r="C429" s="94" t="n"/>
      <c r="D429" s="40" t="n"/>
      <c r="H429" s="16" t="n">
        <v>124</v>
      </c>
      <c r="I429" s="16">
        <f>IF(AND($N$303&lt;=H429,$N$303&gt;H428),B429,0)</f>
        <v/>
      </c>
    </row>
    <row r="430" hidden="1">
      <c r="A430" s="16" t="inlineStr">
        <is>
          <t xml:space="preserve">пролет (суммарный, если многопролетное) от 124 до 132 вкл - </t>
        </is>
      </c>
      <c r="B430" s="31" t="n">
        <v>2.75</v>
      </c>
      <c r="C430" s="94" t="n"/>
      <c r="D430" s="40" t="n"/>
      <c r="H430" s="16" t="n">
        <v>132</v>
      </c>
      <c r="I430" s="16">
        <f>IF(AND($N$303&lt;=H430,$N$303&gt;H429),B430,0)</f>
        <v/>
      </c>
    </row>
    <row r="431" hidden="1">
      <c r="A431" s="16" t="inlineStr">
        <is>
          <t xml:space="preserve">пролет (суммарный, если многопролетное) от 132 до 140 вкл - </t>
        </is>
      </c>
      <c r="B431" s="16" t="n">
        <v>2.9</v>
      </c>
      <c r="C431" s="94" t="n"/>
      <c r="D431" s="40" t="n"/>
      <c r="H431" s="16" t="n">
        <v>140</v>
      </c>
      <c r="I431" s="16">
        <f>IF(AND($N$303&lt;=H431,$N$303&gt;H430),B431,0)</f>
        <v/>
      </c>
    </row>
    <row r="432" hidden="1">
      <c r="A432" s="16" t="inlineStr">
        <is>
          <t xml:space="preserve">пролет (суммарный, если многопролетное) от 140 до 148 вкл - </t>
        </is>
      </c>
      <c r="B432" s="31" t="n">
        <v>3.05</v>
      </c>
      <c r="C432" s="94" t="n"/>
      <c r="D432" s="40" t="n"/>
      <c r="H432" s="16" t="n">
        <v>148</v>
      </c>
      <c r="I432" s="16">
        <f>IF(AND($N$303&lt;=H432,$N$303&gt;H431),B432,0)</f>
        <v/>
      </c>
      <c r="J432" s="16">
        <f>IF(F413=0,9999999,SUM(I414:I432,I434))</f>
        <v/>
      </c>
    </row>
    <row r="433" hidden="1">
      <c r="A433" s="21" t="n"/>
      <c r="C433" s="17" t="n"/>
      <c r="D433" s="40" t="n"/>
    </row>
    <row r="434" hidden="1" ht="15.75" customHeight="1" thickBot="1">
      <c r="A434" s="23" t="inlineStr">
        <is>
          <t>площадь кровли от 400 м2 -</t>
        </is>
      </c>
      <c r="B434" s="24" t="n">
        <v>0.005</v>
      </c>
      <c r="C434" s="49" t="n"/>
      <c r="D434" s="50" t="inlineStr">
        <is>
          <t xml:space="preserve"> - за каждые 30 м2</t>
        </is>
      </c>
      <c r="E434" s="16">
        <f>$F$302*B434</f>
        <v/>
      </c>
      <c r="H434" s="16" t="n">
        <v>30</v>
      </c>
      <c r="I434" s="16">
        <f>IF($I$304&gt;G434,_xlfn.CEILING.MATH(($I$304-G434)/H434,1)*B434,0)</f>
        <v/>
      </c>
    </row>
    <row r="435" hidden="1"/>
    <row r="436" hidden="1" ht="15.75" customHeight="1" thickBot="1"/>
    <row r="437" hidden="1" ht="30.75" customHeight="1" thickBot="1">
      <c r="A437" s="93" t="inlineStr">
        <is>
          <t>великан, атлант, атлант-М, спринт-М, спринт-2М, Крон многоскатная кровля - профлист</t>
        </is>
      </c>
      <c r="F437" s="16">
        <f>IF(AND('Сроки и стоимость'!BJ11=4,'Сроки и стоимость'!BJ31=1),1,0)</f>
        <v/>
      </c>
    </row>
    <row r="438" hidden="1">
      <c r="A438" s="18" t="inlineStr">
        <is>
          <t xml:space="preserve">пролет (суммарный, если многопролетное) до 15 вкл - </t>
        </is>
      </c>
      <c r="B438" s="19" t="n">
        <v>0.05</v>
      </c>
      <c r="C438" s="45" t="n"/>
      <c r="D438" s="46" t="inlineStr">
        <is>
          <t xml:space="preserve"> - за каждый пролет, если многопролетное</t>
        </is>
      </c>
      <c r="E438" s="16">
        <f>$F$302*B438</f>
        <v/>
      </c>
      <c r="H438" s="16" t="n">
        <v>15</v>
      </c>
      <c r="I438" s="16">
        <f>IF($N$303&lt;=H438,B438,0)</f>
        <v/>
      </c>
    </row>
    <row r="439" hidden="1">
      <c r="A439" s="21" t="inlineStr">
        <is>
          <t xml:space="preserve">пролет (суммарный, если многопролетное) от 15 до 30 вкл - </t>
        </is>
      </c>
      <c r="B439" s="16" t="n">
        <v>0.1</v>
      </c>
      <c r="C439" s="17" t="n"/>
      <c r="D439" s="40" t="inlineStr">
        <is>
          <t xml:space="preserve"> - за каждый пролет, если многопролетное</t>
        </is>
      </c>
      <c r="E439" s="16">
        <f>$F$302*B439</f>
        <v/>
      </c>
      <c r="H439" s="16" t="n">
        <v>30</v>
      </c>
      <c r="I439" s="16">
        <f>IF(AND($N$303&lt;=H439,$N$303&gt;H438),B439,0)</f>
        <v/>
      </c>
    </row>
    <row r="440" hidden="1">
      <c r="A440" s="21" t="inlineStr">
        <is>
          <t xml:space="preserve">пролет (суммарный, если многопролетное) от 30 до 45 вкл - </t>
        </is>
      </c>
      <c r="B440" s="16" t="n">
        <v>0.15</v>
      </c>
      <c r="C440" s="17" t="n"/>
      <c r="D440" s="40" t="inlineStr">
        <is>
          <t xml:space="preserve"> - за каждый пролет, если многопролетное</t>
        </is>
      </c>
      <c r="E440" s="16">
        <f>$F$302*B440</f>
        <v/>
      </c>
      <c r="H440" s="16" t="n">
        <v>45</v>
      </c>
      <c r="I440" s="16">
        <f>IF(AND($N$303&lt;=H440,$N$303&gt;H439),B440,0)</f>
        <v/>
      </c>
    </row>
    <row r="441" hidden="1">
      <c r="A441" s="16" t="inlineStr">
        <is>
          <t xml:space="preserve">пролет (суммарный, если многопролетное) от 45 до 60 вкл - </t>
        </is>
      </c>
      <c r="B441" s="31" t="n">
        <v>0.2</v>
      </c>
      <c r="C441" s="94" t="n"/>
      <c r="D441" s="40" t="inlineStr">
        <is>
          <t xml:space="preserve"> - за каждый пролет, если многопролетное</t>
        </is>
      </c>
      <c r="E441" s="16">
        <f>$F$302*B441</f>
        <v/>
      </c>
      <c r="H441" s="16" t="n">
        <v>60</v>
      </c>
      <c r="I441" s="16">
        <f>IF(AND($N$303&lt;=H441,$N$303&gt;H440),B441,0)</f>
        <v/>
      </c>
    </row>
    <row r="442" hidden="1">
      <c r="A442" s="16" t="inlineStr">
        <is>
          <t xml:space="preserve">пролет (суммарный, если многопролетное) от 60 до 75 вкл - </t>
        </is>
      </c>
      <c r="B442" s="16" t="n">
        <v>0.25</v>
      </c>
      <c r="C442" s="94" t="n"/>
      <c r="D442" s="40" t="n"/>
      <c r="H442" s="16" t="n">
        <v>75</v>
      </c>
      <c r="I442" s="16">
        <f>IF(AND($N$303&lt;=H442,$N$303&gt;H441),B442,0)</f>
        <v/>
      </c>
    </row>
    <row r="443" hidden="1">
      <c r="A443" s="16" t="inlineStr">
        <is>
          <t xml:space="preserve">пролет (суммарный, если многопролетное) от 75 до 90 вкл - </t>
        </is>
      </c>
      <c r="B443" s="31" t="n">
        <v>0.3</v>
      </c>
      <c r="C443" s="94" t="n"/>
      <c r="D443" s="40" t="n"/>
      <c r="H443" s="16" t="n">
        <v>90</v>
      </c>
      <c r="I443" s="16">
        <f>IF(AND($N$303&lt;=H443,$N$303&gt;H442),B443,0)</f>
        <v/>
      </c>
    </row>
    <row r="444" hidden="1">
      <c r="A444" s="16" t="inlineStr">
        <is>
          <t xml:space="preserve">пролет (суммарный, если многопролетное) от 90 до 105 вкл - </t>
        </is>
      </c>
      <c r="B444" s="16" t="n">
        <v>0.35</v>
      </c>
      <c r="C444" s="94" t="n"/>
      <c r="D444" s="40" t="n"/>
      <c r="H444" s="16" t="n">
        <v>105</v>
      </c>
      <c r="I444" s="16">
        <f>IF(AND($N$303&lt;=H444,$N$303&gt;H443),B444,0)</f>
        <v/>
      </c>
    </row>
    <row r="445" hidden="1">
      <c r="A445" s="16" t="inlineStr">
        <is>
          <t xml:space="preserve">пролет (суммарный, если многопролетное) от 105 до 120 вкл - </t>
        </is>
      </c>
      <c r="B445" s="31" t="n">
        <v>0.4</v>
      </c>
      <c r="C445" s="94" t="n"/>
      <c r="D445" s="40" t="n"/>
      <c r="H445" s="16" t="n">
        <v>120</v>
      </c>
      <c r="I445" s="16">
        <f>IF(AND($N$303&lt;=H445,$N$303&gt;H444),B445,0)</f>
        <v/>
      </c>
    </row>
    <row r="446" hidden="1">
      <c r="A446" s="16" t="inlineStr">
        <is>
          <t xml:space="preserve">пролет (суммарный, если многопролетное) от 120 до 135 вкл - </t>
        </is>
      </c>
      <c r="B446" s="16" t="n">
        <v>0.45</v>
      </c>
      <c r="C446" s="94" t="n"/>
      <c r="D446" s="40" t="n"/>
      <c r="H446" s="16" t="n">
        <v>135</v>
      </c>
      <c r="I446" s="16">
        <f>IF(AND($N$303&lt;=H446,$N$303&gt;H445),B446,0)</f>
        <v/>
      </c>
    </row>
    <row r="447" hidden="1">
      <c r="A447" s="16" t="inlineStr">
        <is>
          <t xml:space="preserve">пролет (суммарный, если многопролетное) от 135 до 150 вкл - </t>
        </is>
      </c>
      <c r="B447" s="31" t="n">
        <v>0.5</v>
      </c>
      <c r="C447" s="94" t="n"/>
      <c r="D447" s="40" t="n"/>
      <c r="H447" s="16" t="n">
        <v>150</v>
      </c>
      <c r="I447" s="16">
        <f>IF(AND($N$303&lt;=H447,$N$303&gt;H446),B447,0)</f>
        <v/>
      </c>
      <c r="J447" s="16">
        <f>IF(F437=0,9999999,SUM(I438:I447,I449))</f>
        <v/>
      </c>
    </row>
    <row r="448" hidden="1">
      <c r="A448" s="21" t="n"/>
      <c r="C448" s="17" t="n"/>
      <c r="D448" s="40" t="n"/>
    </row>
    <row r="449" hidden="1" ht="15.75" customHeight="1" thickBot="1">
      <c r="A449" s="23" t="inlineStr">
        <is>
          <t>площадь кровли от 400 м2 -</t>
        </is>
      </c>
      <c r="B449" s="24" t="n">
        <v>0.001</v>
      </c>
      <c r="C449" s="49" t="n"/>
      <c r="D449" s="50" t="inlineStr">
        <is>
          <t xml:space="preserve"> - за каждые 30 м2</t>
        </is>
      </c>
      <c r="E449" s="16">
        <f>$F$302*B449</f>
        <v/>
      </c>
      <c r="G449" s="16" t="n">
        <v>400</v>
      </c>
      <c r="H449" s="16" t="n">
        <v>30</v>
      </c>
      <c r="I449" s="16">
        <f>IF($I$304&gt;G449,_xlfn.CEILING.MATH(($I$304-G449)/H449,1)*B449,0)</f>
        <v/>
      </c>
    </row>
    <row r="450" hidden="1" ht="15.75" customHeight="1" thickBot="1"/>
    <row r="451" hidden="1" ht="30.75" customHeight="1" thickBot="1">
      <c r="A451" s="93" t="inlineStr">
        <is>
          <t>великан, атлант, атлант-М, спринт-М, спринт-2М, Крон многоскатная кровля - СП послойной сборки</t>
        </is>
      </c>
      <c r="F451" s="16">
        <f>IF(AND('Сроки и стоимость'!BJ11=4,'Сроки и стоимость'!BJ31=2),1,0)</f>
        <v/>
      </c>
    </row>
    <row r="452" hidden="1">
      <c r="A452" s="18" t="inlineStr">
        <is>
          <t xml:space="preserve">пролет (суммарный, если многопролетное) до 15 вкл - </t>
        </is>
      </c>
      <c r="B452" s="19" t="n">
        <v>0.1</v>
      </c>
      <c r="C452" s="45" t="n"/>
      <c r="D452" s="46" t="inlineStr">
        <is>
          <t xml:space="preserve"> - за каждый пролет, если многопролетное</t>
        </is>
      </c>
      <c r="E452" s="16">
        <f>$F$302*B452</f>
        <v/>
      </c>
      <c r="H452" s="16" t="n">
        <v>15</v>
      </c>
      <c r="I452" s="16">
        <f>IF($N$303&lt;=H452,B452,0)</f>
        <v/>
      </c>
    </row>
    <row r="453" hidden="1">
      <c r="A453" s="21" t="inlineStr">
        <is>
          <t xml:space="preserve">пролет (суммарный, если многопролетное) от 15 до 30 вкл - </t>
        </is>
      </c>
      <c r="B453" s="16" t="n">
        <v>0.2</v>
      </c>
      <c r="C453" s="17" t="n"/>
      <c r="D453" s="40" t="inlineStr">
        <is>
          <t xml:space="preserve"> - за каждый пролет, если многопролетное</t>
        </is>
      </c>
      <c r="E453" s="16">
        <f>$F$302*B453</f>
        <v/>
      </c>
      <c r="H453" s="16" t="n">
        <v>30</v>
      </c>
      <c r="I453" s="16">
        <f>IF(AND($N$303&lt;=H453,$N$303&gt;H452),B453,0)</f>
        <v/>
      </c>
    </row>
    <row r="454" hidden="1">
      <c r="A454" s="21" t="inlineStr">
        <is>
          <t xml:space="preserve">пролет (суммарный, если многопролетное) от 30 до 45 вкл - </t>
        </is>
      </c>
      <c r="B454" s="16" t="n">
        <v>0.3</v>
      </c>
      <c r="C454" s="17" t="n"/>
      <c r="D454" s="40" t="inlineStr">
        <is>
          <t xml:space="preserve"> - за каждый пролет, если многопролетное</t>
        </is>
      </c>
      <c r="E454" s="16">
        <f>$F$302*B454</f>
        <v/>
      </c>
      <c r="H454" s="16" t="n">
        <v>45</v>
      </c>
      <c r="I454" s="16">
        <f>IF(AND($N$303&lt;=H454,$N$303&gt;H453),B454,0)</f>
        <v/>
      </c>
    </row>
    <row r="455" hidden="1">
      <c r="A455" s="16" t="inlineStr">
        <is>
          <t xml:space="preserve">пролет (суммарный, если многопролетное) от 45 до 60 вкл - </t>
        </is>
      </c>
      <c r="B455" s="31" t="n">
        <v>0.4</v>
      </c>
      <c r="C455" s="94" t="n"/>
      <c r="D455" s="40" t="inlineStr">
        <is>
          <t xml:space="preserve"> - за каждый пролет, если многопролетное</t>
        </is>
      </c>
      <c r="E455" s="16">
        <f>$F$302*B455</f>
        <v/>
      </c>
      <c r="H455" s="16" t="n">
        <v>60</v>
      </c>
      <c r="I455" s="16">
        <f>IF(AND($N$303&lt;=H455,$N$303&gt;H454),B455,0)</f>
        <v/>
      </c>
    </row>
    <row r="456" hidden="1">
      <c r="A456" s="16" t="inlineStr">
        <is>
          <t xml:space="preserve">пролет (суммарный, если многопролетное) от 60 до 75 вкл - </t>
        </is>
      </c>
      <c r="B456" s="16" t="n">
        <v>0.5</v>
      </c>
      <c r="C456" s="94" t="n"/>
      <c r="D456" s="40" t="n"/>
      <c r="H456" s="16" t="n">
        <v>75</v>
      </c>
      <c r="I456" s="16">
        <f>IF(AND($N$303&lt;=H456,$N$303&gt;H455),B456,0)</f>
        <v/>
      </c>
    </row>
    <row r="457" hidden="1">
      <c r="A457" s="16" t="inlineStr">
        <is>
          <t xml:space="preserve">пролет (суммарный, если многопролетное) от 75 до 90 вкл - </t>
        </is>
      </c>
      <c r="B457" s="31" t="n">
        <v>0.6</v>
      </c>
      <c r="C457" s="94" t="n"/>
      <c r="D457" s="40" t="n"/>
      <c r="H457" s="16" t="n">
        <v>90</v>
      </c>
      <c r="I457" s="16">
        <f>IF(AND($N$303&lt;=H457,$N$303&gt;H456),B457,0)</f>
        <v/>
      </c>
    </row>
    <row r="458" hidden="1">
      <c r="A458" s="16" t="inlineStr">
        <is>
          <t xml:space="preserve">пролет (суммарный, если многопролетное) от 90 до 105 вкл - </t>
        </is>
      </c>
      <c r="B458" s="16" t="n">
        <v>0.7</v>
      </c>
      <c r="C458" s="94" t="n"/>
      <c r="D458" s="40" t="n"/>
      <c r="H458" s="16" t="n">
        <v>105</v>
      </c>
      <c r="I458" s="16">
        <f>IF(AND($N$303&lt;=H458,$N$303&gt;H457),B458,0)</f>
        <v/>
      </c>
    </row>
    <row r="459" hidden="1">
      <c r="A459" s="16" t="inlineStr">
        <is>
          <t xml:space="preserve">пролет (суммарный, если многопролетное) от 105 до 120 вкл - </t>
        </is>
      </c>
      <c r="B459" s="31" t="n">
        <v>0.8</v>
      </c>
      <c r="C459" s="94" t="n"/>
      <c r="D459" s="40" t="n"/>
      <c r="H459" s="16" t="n">
        <v>120</v>
      </c>
      <c r="I459" s="16">
        <f>IF(AND($N$303&lt;=H459,$N$303&gt;H458),B459,0)</f>
        <v/>
      </c>
    </row>
    <row r="460" hidden="1">
      <c r="A460" s="16" t="inlineStr">
        <is>
          <t xml:space="preserve">пролет (суммарный, если многопролетное) от 120 до 135 вкл - </t>
        </is>
      </c>
      <c r="B460" s="16" t="n">
        <v>0.9</v>
      </c>
      <c r="C460" s="94" t="n"/>
      <c r="D460" s="40" t="n"/>
      <c r="H460" s="16" t="n">
        <v>135</v>
      </c>
      <c r="I460" s="16">
        <f>IF(AND($N$303&lt;=H460,$N$303&gt;H459),B460,0)</f>
        <v/>
      </c>
    </row>
    <row r="461" hidden="1">
      <c r="A461" s="16" t="inlineStr">
        <is>
          <t xml:space="preserve">пролет (суммарный, если многопролетное) от 135 до 150 вкл - </t>
        </is>
      </c>
      <c r="B461" s="31" t="n">
        <v>1</v>
      </c>
      <c r="C461" s="94" t="n"/>
      <c r="D461" s="40" t="n"/>
      <c r="H461" s="16" t="n">
        <v>150</v>
      </c>
      <c r="I461" s="16">
        <f>IF(AND($N$303&lt;=H461,$N$303&gt;H460),B461,0)</f>
        <v/>
      </c>
      <c r="J461" s="16">
        <f>IF(F451=0,9999999,SUM(I452:I461,I463))</f>
        <v/>
      </c>
    </row>
    <row r="462" hidden="1">
      <c r="A462" s="21" t="n"/>
      <c r="C462" s="17" t="n"/>
      <c r="D462" s="40" t="n"/>
    </row>
    <row r="463" hidden="1" ht="15.75" customHeight="1" thickBot="1">
      <c r="A463" s="23" t="inlineStr">
        <is>
          <t>площадь кровли от 400 м2 -</t>
        </is>
      </c>
      <c r="B463" s="24" t="n">
        <v>0.002</v>
      </c>
      <c r="C463" s="49" t="n"/>
      <c r="D463" s="50" t="inlineStr">
        <is>
          <t xml:space="preserve"> - за каждые 30 м2</t>
        </is>
      </c>
      <c r="E463" s="16">
        <f>$F$302*B463</f>
        <v/>
      </c>
      <c r="G463" s="16" t="n">
        <v>400</v>
      </c>
      <c r="H463" s="16" t="n">
        <v>30</v>
      </c>
      <c r="I463" s="16">
        <f>IF($I$304&gt;G463,_xlfn.CEILING.MATH(($I$304-G463)/H463,1)*B463,0)</f>
        <v/>
      </c>
    </row>
    <row r="464" hidden="1" ht="15.75" customHeight="1" thickBot="1"/>
    <row r="465" hidden="1" ht="30.75" customHeight="1" thickBot="1">
      <c r="A465" s="93" t="inlineStr">
        <is>
          <t>великан, атлант, атлант-М, спринт-М, спринт-2М, Крон многоскатная кровля - СП</t>
        </is>
      </c>
      <c r="F465" s="16">
        <f>IF(AND('Сроки и стоимость'!BJ11=4,'Сроки и стоимость'!BJ31=3),1,0)</f>
        <v/>
      </c>
    </row>
    <row r="466" hidden="1">
      <c r="A466" s="18" t="inlineStr">
        <is>
          <t xml:space="preserve">пролет (суммарный, если многопролетное) до 24 вкл - </t>
        </is>
      </c>
      <c r="B466" s="19" t="n">
        <v>0.05</v>
      </c>
      <c r="C466" s="45" t="n"/>
      <c r="D466" s="46" t="inlineStr">
        <is>
          <t xml:space="preserve"> - за каждый пролет, если многопролетное</t>
        </is>
      </c>
      <c r="E466" s="16">
        <f>$F$302*B466</f>
        <v/>
      </c>
      <c r="H466" s="16" t="n">
        <v>24</v>
      </c>
      <c r="I466" s="16">
        <f>IF($N$303&lt;=H466,B466,0)</f>
        <v/>
      </c>
    </row>
    <row r="467" hidden="1">
      <c r="A467" s="21" t="inlineStr">
        <is>
          <t xml:space="preserve">пролет (суммарный, если многопролетное) от 24 до 45 вкл - </t>
        </is>
      </c>
      <c r="B467" s="16" t="n">
        <v>0.1</v>
      </c>
      <c r="C467" s="17" t="n"/>
      <c r="D467" s="40" t="inlineStr">
        <is>
          <t xml:space="preserve"> - за каждый пролет, если многопролетное</t>
        </is>
      </c>
      <c r="E467" s="16">
        <f>$F$302*B467</f>
        <v/>
      </c>
      <c r="H467" s="16" t="n">
        <v>45</v>
      </c>
      <c r="I467" s="16">
        <f>IF(AND($N$303&lt;=H467,$N$303&gt;H466),B467,0)</f>
        <v/>
      </c>
    </row>
    <row r="468" hidden="1">
      <c r="A468" s="16" t="inlineStr">
        <is>
          <t xml:space="preserve">пролет (суммарный, если многопролетное) от 45 до 60 вкл - </t>
        </is>
      </c>
      <c r="B468" s="31" t="n">
        <v>0.15</v>
      </c>
      <c r="C468" s="94" t="n"/>
      <c r="D468" s="40" t="inlineStr">
        <is>
          <t xml:space="preserve"> - за каждый пролет, если многопролетное</t>
        </is>
      </c>
      <c r="E468" s="16">
        <f>$F$302*B468</f>
        <v/>
      </c>
      <c r="H468" s="16" t="n">
        <v>60</v>
      </c>
      <c r="I468" s="16">
        <f>IF(AND($N$303&lt;=H468,$N$303&gt;H467),B468,0)</f>
        <v/>
      </c>
    </row>
    <row r="469" hidden="1">
      <c r="A469" s="16" t="inlineStr">
        <is>
          <t xml:space="preserve">пролет (суммарный, если многопролетное) от 60 до 75 вкл - </t>
        </is>
      </c>
      <c r="B469" s="16" t="n">
        <v>0.2</v>
      </c>
      <c r="C469" s="94" t="n"/>
      <c r="D469" s="40" t="n"/>
      <c r="H469" s="16" t="n">
        <v>75</v>
      </c>
      <c r="I469" s="16">
        <f>IF(AND($N$303&lt;=H469,$N$303&gt;H468),B469,0)</f>
        <v/>
      </c>
    </row>
    <row r="470" hidden="1">
      <c r="A470" s="16" t="inlineStr">
        <is>
          <t xml:space="preserve">пролет (суммарный, если многопролетное) от 75 до 90 вкл - </t>
        </is>
      </c>
      <c r="B470" s="31" t="n">
        <v>0.25</v>
      </c>
      <c r="C470" s="94" t="n"/>
      <c r="D470" s="40" t="n"/>
      <c r="H470" s="16" t="n">
        <v>90</v>
      </c>
      <c r="I470" s="16">
        <f>IF(AND($N$303&lt;=H470,$N$303&gt;H469),B470,0)</f>
        <v/>
      </c>
    </row>
    <row r="471" hidden="1">
      <c r="A471" s="16" t="inlineStr">
        <is>
          <t xml:space="preserve">пролет (суммарный, если многопролетное) от 90 до 105 вкл - </t>
        </is>
      </c>
      <c r="B471" s="16" t="n">
        <v>0.3</v>
      </c>
      <c r="C471" s="94" t="n"/>
      <c r="D471" s="40" t="n"/>
      <c r="H471" s="16" t="n">
        <v>105</v>
      </c>
      <c r="I471" s="16">
        <f>IF(AND($N$303&lt;=H471,$N$303&gt;H470),B471,0)</f>
        <v/>
      </c>
    </row>
    <row r="472" hidden="1">
      <c r="A472" s="16" t="inlineStr">
        <is>
          <t xml:space="preserve">пролет (суммарный, если многопролетное) от 105 до 120 вкл - </t>
        </is>
      </c>
      <c r="B472" s="31" t="n">
        <v>0.35</v>
      </c>
      <c r="C472" s="94" t="n"/>
      <c r="D472" s="40" t="n"/>
      <c r="H472" s="16" t="n">
        <v>120</v>
      </c>
      <c r="I472" s="16">
        <f>IF(AND($N$303&lt;=H472,$N$303&gt;H471),B472,0)</f>
        <v/>
      </c>
    </row>
    <row r="473" hidden="1">
      <c r="A473" s="16" t="inlineStr">
        <is>
          <t xml:space="preserve">пролет (суммарный, если многопролетное) от 120 до 135 вкл - </t>
        </is>
      </c>
      <c r="B473" s="16" t="n">
        <v>0.4</v>
      </c>
      <c r="C473" s="94" t="n"/>
      <c r="D473" s="40" t="n"/>
      <c r="H473" s="16" t="n">
        <v>135</v>
      </c>
      <c r="I473" s="16">
        <f>IF(AND($N$303&lt;=H473,$N$303&gt;H472),B473,0)</f>
        <v/>
      </c>
    </row>
    <row r="474" hidden="1">
      <c r="A474" s="16" t="inlineStr">
        <is>
          <t xml:space="preserve">пролет (суммарный, если многопролетное) от 135 до 150 вкл - </t>
        </is>
      </c>
      <c r="B474" s="31" t="n">
        <v>0.45</v>
      </c>
      <c r="C474" s="94" t="n"/>
      <c r="D474" s="40" t="n"/>
      <c r="H474" s="16" t="n">
        <v>150</v>
      </c>
      <c r="I474" s="16">
        <f>IF(AND($N$303&lt;=H474,$N$303&gt;H473),B474,0)</f>
        <v/>
      </c>
      <c r="J474" s="16">
        <f>IF(F465=0,9999999,SUM(I466:I474,I476))</f>
        <v/>
      </c>
    </row>
    <row r="475" hidden="1">
      <c r="A475" s="21" t="n"/>
      <c r="C475" s="17" t="n"/>
      <c r="D475" s="40" t="n"/>
    </row>
    <row r="476" hidden="1" ht="15.75" customHeight="1" thickBot="1">
      <c r="A476" s="23" t="inlineStr">
        <is>
          <t>площадь кровли от 400 м2 -</t>
        </is>
      </c>
      <c r="B476" s="24" t="n">
        <v>0.0015</v>
      </c>
      <c r="C476" s="49" t="n"/>
      <c r="D476" s="50" t="inlineStr">
        <is>
          <t xml:space="preserve"> - за каждые 30 м2</t>
        </is>
      </c>
      <c r="E476" s="16">
        <f>$F$302*B476</f>
        <v/>
      </c>
      <c r="G476" s="16" t="n">
        <v>400</v>
      </c>
      <c r="H476" s="16" t="n">
        <v>30</v>
      </c>
      <c r="I476" s="16">
        <f>IF($I$304&gt;G476,_xlfn.CEILING.MATH(($I$304-G476)/H476,1)*B476,0)</f>
        <v/>
      </c>
      <c r="L476" s="16">
        <f>MIN(J317,J331,J344,J368,J391,J408,J432,J447,J461,J474)</f>
        <v/>
      </c>
    </row>
    <row r="479" ht="15.75" customHeight="1" thickBot="1"/>
    <row r="480">
      <c r="A480" s="58" t="inlineStr">
        <is>
          <t xml:space="preserve">ограждение стен - СП горизонтально (сейсмика до 6 баллов) - </t>
        </is>
      </c>
      <c r="B480" s="45" t="n">
        <v>0.15</v>
      </c>
      <c r="C480" s="45" t="n"/>
      <c r="D480" s="46" t="n"/>
      <c r="E480" s="16">
        <f>$F$302*B480</f>
        <v/>
      </c>
      <c r="G480" s="16" t="inlineStr">
        <is>
          <t>площадь</t>
        </is>
      </c>
      <c r="H480" s="16" t="inlineStr">
        <is>
          <t>толщина</t>
        </is>
      </c>
      <c r="I480" s="16" t="n">
        <v>1</v>
      </c>
      <c r="J480" s="16" t="n">
        <v>2</v>
      </c>
      <c r="K480" s="16" t="n">
        <v>3</v>
      </c>
      <c r="N480" s="16" t="inlineStr">
        <is>
          <t>предел</t>
        </is>
      </c>
      <c r="O480" s="16" t="inlineStr">
        <is>
          <t>шаг</t>
        </is>
      </c>
      <c r="P480" s="16" t="inlineStr">
        <is>
          <t>кол-во</t>
        </is>
      </c>
      <c r="Q480" s="16" t="n">
        <v>1</v>
      </c>
      <c r="R480" s="16" t="n">
        <v>2</v>
      </c>
      <c r="S480" s="16" t="n">
        <v>3</v>
      </c>
      <c r="T480" s="16" t="n">
        <v>4</v>
      </c>
    </row>
    <row r="481">
      <c r="A481" s="59" t="inlineStr">
        <is>
          <t xml:space="preserve">ограждение стен - СП вертикально (сейсмика до 6 баллов) - </t>
        </is>
      </c>
      <c r="B481" s="17" t="n">
        <v>0.2</v>
      </c>
      <c r="C481" s="17" t="n"/>
      <c r="D481" s="40" t="n"/>
      <c r="E481" s="16">
        <f>$F$302*B481</f>
        <v/>
      </c>
      <c r="G481" s="16">
        <f>MAX(N175,N179)</f>
        <v/>
      </c>
      <c r="H481" s="16">
        <f>CHOOSE('Сроки и стоимость'!$AM$37,'Атлант, Великан'!Q481,'Атлант, Великан'!R481,'Атлант, Великан'!S481,'Атлант, Великан'!T481)</f>
        <v/>
      </c>
      <c r="I481" s="16">
        <f>IF('Сроки и стоимость'!$AM$36='Атлант, Великан'!I$480,IF('Сроки и стоимость'!$AM$63=2,'Атлант, Великан'!B488+IF(G481&lt;=N481,0,B491*_xlfn.CEILING.MATH((G481-N481)/O481)),B489+IF(G481&lt;=N481,0,B492*_xlfn.CEILING.MATH((G481-N481)/O481))),0)</f>
        <v/>
      </c>
      <c r="J481" s="16">
        <f>IF('Сроки и стоимость'!$AM$36=J480,INDEX(Q483:T483,1,MATCH(H481,Q481:T481,0))+IF(G481&lt;=N481,0,INDEX(Q484:T484,1,MATCH(H481,Q481:T481,0))*_xlfn.CEILING.MATH((G481-N481)/O481)),0)</f>
        <v/>
      </c>
      <c r="K481" s="16">
        <f>IF('Сроки и стоимость'!$AM$36=K480,IF('Сроки и стоимость'!$AM$6&lt;=1,CHOOSE('Сроки и стоимость'!$AM$69,'Атлант, Великан'!B480+B484*P481,'Атлант, Великан'!B481+B485*P481),B482+P481*B486),0)</f>
        <v/>
      </c>
      <c r="L481" s="16">
        <f>SUM(I481:K481)</f>
        <v/>
      </c>
      <c r="N481" s="16" t="n">
        <v>300</v>
      </c>
      <c r="O481" s="16" t="n">
        <v>30</v>
      </c>
      <c r="P481" s="16">
        <f>MAX(0,_xlfn.CEILING.MATH((G481-N481)/O481))</f>
        <v/>
      </c>
      <c r="Q481" s="16" t="n">
        <v>100</v>
      </c>
      <c r="R481" s="16" t="n">
        <v>150</v>
      </c>
      <c r="S481" s="16" t="n">
        <v>200</v>
      </c>
      <c r="T481" s="16" t="n">
        <v>250</v>
      </c>
    </row>
    <row r="482">
      <c r="A482" s="59" t="inlineStr">
        <is>
          <t xml:space="preserve">ограждение стен - СП вертикально (сейсмика более 7 баллов) - </t>
        </is>
      </c>
      <c r="B482" s="17" t="n">
        <v>0.5</v>
      </c>
      <c r="C482" s="17" t="n"/>
      <c r="D482" s="40" t="n"/>
      <c r="E482" s="16">
        <f>$F$302*B482</f>
        <v/>
      </c>
    </row>
    <row r="483">
      <c r="A483" s="59" t="n"/>
      <c r="B483" s="17" t="n"/>
      <c r="C483" s="17" t="n"/>
      <c r="D483" s="40" t="n"/>
      <c r="Q483" s="16">
        <f>B496</f>
        <v/>
      </c>
      <c r="R483" s="16">
        <f>B495</f>
        <v/>
      </c>
      <c r="S483" s="16">
        <f>B494</f>
        <v/>
      </c>
      <c r="T483" s="16">
        <f>B494</f>
        <v/>
      </c>
    </row>
    <row r="484">
      <c r="A484" s="59" t="inlineStr">
        <is>
          <t>СП горизонтально (сейсмика до 6 баллов) площадь стен от 300 м2 -</t>
        </is>
      </c>
      <c r="B484" s="17" t="n">
        <v>0.001</v>
      </c>
      <c r="C484" s="17" t="n"/>
      <c r="D484" s="40" t="inlineStr">
        <is>
          <t xml:space="preserve"> - за каждые 30 м2</t>
        </is>
      </c>
      <c r="E484" s="16">
        <f>$F$302*B484</f>
        <v/>
      </c>
      <c r="Q484" s="16">
        <f>B500</f>
        <v/>
      </c>
      <c r="R484" s="16">
        <f>B499</f>
        <v/>
      </c>
      <c r="S484" s="16">
        <f>B498</f>
        <v/>
      </c>
      <c r="T484" s="16">
        <f>B498</f>
        <v/>
      </c>
    </row>
    <row r="485">
      <c r="A485" s="59" t="inlineStr">
        <is>
          <t xml:space="preserve">СП вертикально (сейсмика до 6 баллов) площадь стен от 300 м2 - </t>
        </is>
      </c>
      <c r="B485" s="17" t="n">
        <v>0.003</v>
      </c>
      <c r="C485" s="17" t="n"/>
      <c r="D485" s="40" t="inlineStr">
        <is>
          <t xml:space="preserve"> - за каждые 30 м2</t>
        </is>
      </c>
      <c r="E485" s="16">
        <f>$F$302*B485</f>
        <v/>
      </c>
    </row>
    <row r="486" ht="15.75" customHeight="1" thickBot="1">
      <c r="A486" s="60" t="inlineStr">
        <is>
          <t xml:space="preserve">СП вертикально (сейсмика более 7 баллов) площадь стен от 300 м2 - </t>
        </is>
      </c>
      <c r="B486" s="55" t="n">
        <v>0.0045</v>
      </c>
      <c r="C486" s="55" t="n"/>
      <c r="D486" s="50" t="inlineStr">
        <is>
          <t xml:space="preserve"> - за каждые 30 м2</t>
        </is>
      </c>
      <c r="E486" s="16">
        <f>$F$302*B486</f>
        <v/>
      </c>
    </row>
    <row r="487" ht="15.75" customHeight="1" thickBot="1"/>
    <row r="488">
      <c r="A488" s="58" t="inlineStr">
        <is>
          <t xml:space="preserve">ограждение стен - профлист (V степень огнестойкости) - </t>
        </is>
      </c>
      <c r="B488" s="45" t="n">
        <v>0.1</v>
      </c>
      <c r="C488" s="45" t="n"/>
      <c r="D488" s="46" t="n"/>
      <c r="E488" s="16">
        <f>$F$302*B488</f>
        <v/>
      </c>
    </row>
    <row r="489">
      <c r="A489" s="59" t="inlineStr">
        <is>
          <t xml:space="preserve">ограждение стен - профлист (IV, III, II степень огнестойкости) - </t>
        </is>
      </c>
      <c r="B489" s="17" t="n">
        <v>0.15</v>
      </c>
      <c r="C489" s="17" t="n"/>
      <c r="D489" s="40" t="n"/>
      <c r="E489" s="16">
        <f>$F$302*B489</f>
        <v/>
      </c>
    </row>
    <row r="490">
      <c r="A490" s="59" t="n"/>
      <c r="B490" s="17" t="n"/>
      <c r="C490" s="17" t="n"/>
      <c r="D490" s="40" t="n"/>
    </row>
    <row r="491">
      <c r="A491" s="59" t="inlineStr">
        <is>
          <t>(V степень огнестойкости) площадь стен от 300 м2 -</t>
        </is>
      </c>
      <c r="B491" s="17" t="n">
        <v>0.001</v>
      </c>
      <c r="C491" s="17" t="n"/>
      <c r="D491" s="40" t="inlineStr">
        <is>
          <t xml:space="preserve"> - за каждые 30 м2</t>
        </is>
      </c>
      <c r="E491" s="16">
        <f>$F$302*B491</f>
        <v/>
      </c>
    </row>
    <row r="492" ht="15.75" customHeight="1" thickBot="1">
      <c r="A492" s="60" t="inlineStr">
        <is>
          <t>(IV, III, II степень огнестойкости) площадь стен от 300 м2 -</t>
        </is>
      </c>
      <c r="B492" s="55" t="n">
        <v>0.0015</v>
      </c>
      <c r="C492" s="55" t="n"/>
      <c r="D492" s="50" t="inlineStr">
        <is>
          <t xml:space="preserve"> - за каждые 30 м2</t>
        </is>
      </c>
      <c r="E492" s="16">
        <f>$F$302*B492</f>
        <v/>
      </c>
    </row>
    <row r="493" ht="15.75" customHeight="1" thickBot="1"/>
    <row r="494">
      <c r="A494" s="58" t="inlineStr">
        <is>
          <t xml:space="preserve">ограждение стен - СП послойной сборки, утепление 200(250) мм - </t>
        </is>
      </c>
      <c r="B494" s="45" t="n">
        <v>0.3</v>
      </c>
      <c r="C494" s="45" t="n"/>
      <c r="D494" s="46" t="n"/>
      <c r="E494" s="16">
        <f>$F$302*B494</f>
        <v/>
      </c>
    </row>
    <row r="495">
      <c r="A495" s="59" t="inlineStr">
        <is>
          <t xml:space="preserve">ограждение стен - СП послойной сборки, утепление 150 мм - </t>
        </is>
      </c>
      <c r="B495" s="17" t="n">
        <v>0.35</v>
      </c>
      <c r="C495" s="17" t="n"/>
      <c r="D495" s="40" t="n"/>
      <c r="E495" s="16">
        <f>$F$302*B495</f>
        <v/>
      </c>
    </row>
    <row r="496">
      <c r="A496" s="59" t="inlineStr">
        <is>
          <t xml:space="preserve">ограждение стен - СП послойной сборки, утепление 100 мм - </t>
        </is>
      </c>
      <c r="B496" s="17" t="n">
        <v>0.4</v>
      </c>
      <c r="C496" s="17" t="n"/>
      <c r="D496" s="40" t="n"/>
      <c r="E496" s="16">
        <f>$F$302*B496</f>
        <v/>
      </c>
    </row>
    <row r="497">
      <c r="A497" s="59" t="n"/>
      <c r="B497" s="17" t="n"/>
      <c r="C497" s="17" t="n"/>
      <c r="D497" s="40" t="n"/>
    </row>
    <row r="498">
      <c r="A498" s="59" t="inlineStr">
        <is>
          <t>(утепление 200(250)мм площадь стен от 300 м2 -</t>
        </is>
      </c>
      <c r="B498" s="17" t="n">
        <v>0.004</v>
      </c>
      <c r="C498" s="17" t="n"/>
      <c r="D498" s="40" t="inlineStr">
        <is>
          <t xml:space="preserve"> - за каждые 30 м2</t>
        </is>
      </c>
      <c r="E498" s="16">
        <f>$F$302*B498</f>
        <v/>
      </c>
    </row>
    <row r="499">
      <c r="A499" s="59" t="inlineStr">
        <is>
          <t>(утепление 150 мм) площадь стен от 300 м2 -</t>
        </is>
      </c>
      <c r="B499" s="17" t="n">
        <v>0.0045</v>
      </c>
      <c r="C499" s="17" t="n"/>
      <c r="D499" s="40" t="inlineStr">
        <is>
          <t xml:space="preserve"> - за каждые 30 м2</t>
        </is>
      </c>
      <c r="E499" s="16">
        <f>$F$302*B499</f>
        <v/>
      </c>
    </row>
    <row r="500" ht="15.75" customHeight="1" thickBot="1">
      <c r="A500" s="60" t="inlineStr">
        <is>
          <t>(утепление 100 мм) площадь стен от 300 м2 -</t>
        </is>
      </c>
      <c r="B500" s="55" t="n">
        <v>0.005</v>
      </c>
      <c r="C500" s="55" t="n"/>
      <c r="D500" s="50" t="inlineStr">
        <is>
          <t xml:space="preserve"> - за каждые 30 м2</t>
        </is>
      </c>
      <c r="E500" s="16">
        <f>$F$302*B500</f>
        <v/>
      </c>
    </row>
    <row r="501" ht="15.75" customHeight="1" thickBot="1"/>
    <row r="502">
      <c r="A502" s="58" t="inlineStr">
        <is>
          <t xml:space="preserve">окна - </t>
        </is>
      </c>
      <c r="B502" s="45" t="n">
        <v>0.005</v>
      </c>
      <c r="C502" s="45" t="n"/>
      <c r="D502" s="46" t="inlineStr">
        <is>
          <t>за 1 шт</t>
        </is>
      </c>
      <c r="E502" s="16">
        <f>$F$302*B502</f>
        <v/>
      </c>
      <c r="G502" s="16">
        <f>IF('Сроки и стоимость'!$BJ$38=TRUE,'Атлант, Великан'!B502*'Сроки и стоимость'!$W$51+'Атлант, Великан'!B503*('Сроки и стоимость'!$W$53-1))</f>
        <v/>
      </c>
    </row>
    <row r="503">
      <c r="A503" s="59" t="inlineStr">
        <is>
          <t xml:space="preserve">окна, кол-во типов размеров - </t>
        </is>
      </c>
      <c r="B503" s="17" t="n">
        <v>0.02</v>
      </c>
      <c r="C503" s="17" t="n"/>
      <c r="D503" s="40" t="inlineStr">
        <is>
          <t>за каждый тип после 1</t>
        </is>
      </c>
      <c r="E503" s="16">
        <f>$F$302*B503</f>
        <v/>
      </c>
    </row>
    <row r="504">
      <c r="A504" s="59" t="n"/>
      <c r="B504" s="17" t="n"/>
      <c r="C504" s="17" t="n"/>
      <c r="D504" s="40" t="n"/>
    </row>
    <row r="505">
      <c r="A505" s="59" t="inlineStr">
        <is>
          <t xml:space="preserve">двери - </t>
        </is>
      </c>
      <c r="B505" s="17" t="n">
        <v>0.005</v>
      </c>
      <c r="C505" s="17" t="n"/>
      <c r="D505" s="40" t="inlineStr">
        <is>
          <t>за 1 шт</t>
        </is>
      </c>
      <c r="E505" s="16">
        <f>$F$302*B505</f>
        <v/>
      </c>
      <c r="G505" s="16">
        <f>IF('Сроки и стоимость'!$AM$41=TRUE,'Атлант, Великан'!B505*'Сроки и стоимость'!$W$61+'Атлант, Великан'!B506*('Сроки и стоимость'!$W$63-1))</f>
        <v/>
      </c>
    </row>
    <row r="506">
      <c r="A506" s="59" t="inlineStr">
        <is>
          <t xml:space="preserve">двери, кол-во типов размеров - </t>
        </is>
      </c>
      <c r="B506" s="17" t="n">
        <v>0.02</v>
      </c>
      <c r="C506" s="17" t="n"/>
      <c r="D506" s="40" t="inlineStr">
        <is>
          <t>за каждый тип после 1</t>
        </is>
      </c>
      <c r="E506" s="16">
        <f>$F$302*B506</f>
        <v/>
      </c>
    </row>
    <row r="507">
      <c r="A507" s="59" t="n"/>
      <c r="B507" s="17" t="n"/>
      <c r="C507" s="17" t="n"/>
      <c r="D507" s="40" t="n"/>
    </row>
    <row r="508">
      <c r="A508" s="59" t="inlineStr">
        <is>
          <t>ворота -</t>
        </is>
      </c>
      <c r="B508" s="17" t="n">
        <v>0.005</v>
      </c>
      <c r="C508" s="17" t="n"/>
      <c r="D508" s="40" t="inlineStr">
        <is>
          <t>за 1 шт</t>
        </is>
      </c>
      <c r="E508" s="16">
        <f>$F$302*B508</f>
        <v/>
      </c>
      <c r="G508" s="16">
        <f>IF('Сроки и стоимость'!$AM$40=TRUE,'Атлант, Великан'!B508*'Сроки и стоимость'!$W$56+'Атлант, Великан'!B509*('Сроки и стоимость'!$W$58-1))</f>
        <v/>
      </c>
    </row>
    <row r="509" ht="15.75" customHeight="1" thickBot="1">
      <c r="A509" s="60" t="inlineStr">
        <is>
          <t xml:space="preserve">ворота, кол-во типов размеров - </t>
        </is>
      </c>
      <c r="B509" s="55" t="n">
        <v>0.02</v>
      </c>
      <c r="C509" s="55" t="n"/>
      <c r="D509" s="50" t="inlineStr">
        <is>
          <t>за 1 шт после 1</t>
        </is>
      </c>
      <c r="E509" s="16">
        <f>$F$302*B509</f>
        <v/>
      </c>
    </row>
    <row r="510">
      <c r="H510" s="16">
        <f>IF('Сроки и стоимость'!AM59=3,0,1)</f>
        <v/>
      </c>
      <c r="I510" s="16">
        <f>IF('Сроки и стоимость'!AM60=3,0,1)</f>
        <v/>
      </c>
    </row>
    <row r="511" ht="15.75" customHeight="1" thickBot="1">
      <c r="H511" s="16" t="inlineStr">
        <is>
          <t>длинная сторона</t>
        </is>
      </c>
      <c r="I511" s="16" t="inlineStr">
        <is>
          <t>торец</t>
        </is>
      </c>
      <c r="K511" s="16" t="inlineStr">
        <is>
          <t>длинная сторона</t>
        </is>
      </c>
      <c r="L511" s="16" t="inlineStr">
        <is>
          <t>торец</t>
        </is>
      </c>
    </row>
    <row r="512">
      <c r="A512" s="58" t="inlineStr">
        <is>
          <t>парапет (с выносом) по длинной стороне (длина до 30 м) -</t>
        </is>
      </c>
      <c r="B512" s="45" t="n">
        <v>0.1</v>
      </c>
      <c r="C512" s="45" t="n"/>
      <c r="D512" s="46" t="n"/>
      <c r="E512" s="16">
        <f>$F$1*B512</f>
        <v/>
      </c>
      <c r="G512" s="16" t="n">
        <v>30</v>
      </c>
      <c r="H512" s="16">
        <f>'Сроки и стоимость'!$B$38*CHOOSE('Сроки и стоимость'!$AM$59,1,2,0)</f>
        <v/>
      </c>
      <c r="I512" s="16">
        <f>$M$127*CHOOSE('Сроки и стоимость'!$AM$60,1,2,0)</f>
        <v/>
      </c>
      <c r="K512" s="16">
        <f>IF('Сроки и стоимость'!AM61=TRUE,B512+B516*I516,B513+B516*I516)*H510</f>
        <v/>
      </c>
      <c r="L512" s="16">
        <f>(B514+B517*I517)*I510</f>
        <v/>
      </c>
      <c r="M512" s="16">
        <f>(K512+L512)*H510</f>
        <v/>
      </c>
    </row>
    <row r="513">
      <c r="A513" s="59" t="inlineStr">
        <is>
          <t>парапет (без выноса) по длинной стороне (длина до 30 м) -</t>
        </is>
      </c>
      <c r="B513" s="17" t="n">
        <v>0.15</v>
      </c>
      <c r="C513" s="17" t="n"/>
      <c r="D513" s="40" t="n"/>
      <c r="E513" s="16">
        <f>$F$1*B513</f>
        <v/>
      </c>
    </row>
    <row r="514">
      <c r="A514" s="59" t="inlineStr">
        <is>
          <t>парапет в торце (длина до 15 м) -</t>
        </is>
      </c>
      <c r="B514" s="17" t="n">
        <v>0.15</v>
      </c>
      <c r="C514" s="17" t="n"/>
      <c r="D514" s="40" t="n"/>
      <c r="E514" s="16">
        <f>$F$1*B514</f>
        <v/>
      </c>
    </row>
    <row r="515">
      <c r="A515" s="59" t="n"/>
      <c r="B515" s="17" t="n"/>
      <c r="C515" s="17" t="n"/>
      <c r="D515" s="40" t="n"/>
    </row>
    <row r="516">
      <c r="A516" s="59" t="inlineStr">
        <is>
          <t>по длинной стороне (длина от 30 м) -</t>
        </is>
      </c>
      <c r="B516" s="17" t="n">
        <v>0.005</v>
      </c>
      <c r="C516" s="17" t="n"/>
      <c r="D516" s="40" t="inlineStr">
        <is>
          <t>за каждые 6 м</t>
        </is>
      </c>
      <c r="E516" s="16">
        <f>$F$1*B516</f>
        <v/>
      </c>
      <c r="G516" s="16" t="n">
        <v>30</v>
      </c>
      <c r="H516" s="16" t="n">
        <v>6</v>
      </c>
      <c r="I516" s="16">
        <f>MAX(0,_xlfn.CEILING.MATH((H512-G516)/H516))</f>
        <v/>
      </c>
    </row>
    <row r="517" ht="15.75" customHeight="1" thickBot="1">
      <c r="A517" s="60" t="inlineStr">
        <is>
          <t>в торце (длина от 15 м) -</t>
        </is>
      </c>
      <c r="B517" s="55" t="n">
        <v>0.01</v>
      </c>
      <c r="C517" s="55" t="n"/>
      <c r="D517" s="50" t="inlineStr">
        <is>
          <t>за каждые 3 м</t>
        </is>
      </c>
      <c r="E517" s="16">
        <f>$F$1*B517</f>
        <v/>
      </c>
      <c r="G517" s="16" t="n">
        <v>15</v>
      </c>
      <c r="H517" s="16" t="n">
        <v>3</v>
      </c>
      <c r="I517" s="16">
        <f>MAX(_xlfn.CEILING.MATH((I512-G517)/H517),0)</f>
        <v/>
      </c>
    </row>
    <row r="519" ht="15.75" customHeight="1" thickBot="1">
      <c r="G519" s="16" t="n">
        <v>1</v>
      </c>
      <c r="H519" s="16" t="n">
        <v>2</v>
      </c>
      <c r="I519" s="16" t="n">
        <v>3</v>
      </c>
      <c r="J519" s="16" t="n">
        <v>4</v>
      </c>
      <c r="K519" s="16" t="n">
        <v>5</v>
      </c>
      <c r="O519" s="16" t="inlineStr">
        <is>
          <t>антр 1</t>
        </is>
      </c>
      <c r="P519" s="16" t="inlineStr">
        <is>
          <t>антр 2</t>
        </is>
      </c>
      <c r="Q519" s="16" t="inlineStr">
        <is>
          <t>антр 3</t>
        </is>
      </c>
    </row>
    <row r="520">
      <c r="A520" s="58" t="inlineStr">
        <is>
          <t xml:space="preserve">перекрытие - </t>
        </is>
      </c>
      <c r="B520" s="45" t="n">
        <v>0.1</v>
      </c>
      <c r="C520" s="45" t="n"/>
      <c r="D520" s="46" t="inlineStr">
        <is>
          <t>за пролет</t>
        </is>
      </c>
      <c r="E520" s="16">
        <f>$F$1*B520</f>
        <v/>
      </c>
      <c r="G520" s="16">
        <f>IF('Сроки и стоимость'!$AM$14=FALSE,0,IF('Сроки и стоимость'!$B$46=0,0,1))</f>
        <v/>
      </c>
      <c r="H520" s="16">
        <f>IF('Сроки и стоимость'!$AM$14=FALSE,0,IF('Сроки и стоимость'!$D$46=0,0,1))</f>
        <v/>
      </c>
      <c r="I520" s="16">
        <f>IF('Сроки и стоимость'!$AM$14=FALSE,0,IF('Сроки и стоимость'!$F$46=0,0,1))</f>
        <v/>
      </c>
      <c r="J520" s="16">
        <f>IF('Сроки и стоимость'!$AM$14=FALSE,0,IF('Сроки и стоимость'!$H$46=0,0,1))</f>
        <v/>
      </c>
      <c r="K520" s="16">
        <f>IF('Сроки и стоимость'!$AM$14=FALSE,0,IF('Сроки и стоимость'!$J$46=0,0,1))</f>
        <v/>
      </c>
      <c r="L520" s="16">
        <f>B520*SUM(G520:K520)+IF('Сроки и стоимость'!$AM$14=FALSE,0,(MAX('Сроки и стоимость'!$L$46,2)-2)*'Атлант, Великан'!B523)</f>
        <v/>
      </c>
      <c r="O520" s="16">
        <f>IF('Сроки и стоимость'!AM15=FALSE,0,1)</f>
        <v/>
      </c>
      <c r="P520" s="16">
        <f>IF('Сроки и стоимость'!AM16=FALSE,0,1)</f>
        <v/>
      </c>
      <c r="Q520" s="16">
        <f>IF('Сроки и стоимость'!AM17=FALSE,0,1)</f>
        <v/>
      </c>
      <c r="R520" s="16">
        <f>B521*SUM(O520:Q520)+O520*B524*(MAX(2,'Сроки и стоимость'!$L$50)-2)+P520*B524*(MAX(2,'Сроки и стоимость'!$L$54)-2)+Q520*B524*(MAX(2,'Сроки и стоимость'!$L$58)-2)</f>
        <v/>
      </c>
    </row>
    <row r="521">
      <c r="A521" s="59" t="inlineStr">
        <is>
          <t xml:space="preserve">антресоль - </t>
        </is>
      </c>
      <c r="B521" s="17" t="n">
        <v>0.1</v>
      </c>
      <c r="C521" s="17" t="n"/>
      <c r="D521" s="40" t="inlineStr">
        <is>
          <t>за каждую</t>
        </is>
      </c>
      <c r="E521" s="16">
        <f>$F$1*B521</f>
        <v/>
      </c>
    </row>
    <row r="522">
      <c r="A522" s="59" t="n"/>
      <c r="B522" s="17" t="n"/>
      <c r="C522" s="17" t="n"/>
      <c r="D522" s="40" t="n"/>
    </row>
    <row r="523">
      <c r="A523" s="59" t="inlineStr">
        <is>
          <t>несколько этажей перекрытия</t>
        </is>
      </c>
      <c r="B523" s="17" t="n">
        <v>0.1</v>
      </c>
      <c r="C523" s="17" t="n"/>
      <c r="D523" s="40" t="inlineStr">
        <is>
          <t>за каждый этаж после 2го</t>
        </is>
      </c>
      <c r="E523" s="16">
        <f>$F$1*B523</f>
        <v/>
      </c>
    </row>
    <row r="524" ht="15.75" customHeight="1" thickBot="1">
      <c r="A524" s="60" t="inlineStr">
        <is>
          <t>несколько этажей антресоли</t>
        </is>
      </c>
      <c r="B524" s="55" t="n">
        <v>0.1</v>
      </c>
      <c r="C524" s="55" t="n"/>
      <c r="D524" s="50" t="inlineStr">
        <is>
          <t>за каждый этаж после 2го</t>
        </is>
      </c>
      <c r="E524" s="16">
        <f>$F$1*B524</f>
        <v/>
      </c>
    </row>
    <row r="526" ht="15.75" customHeight="1" thickBot="1"/>
    <row r="527">
      <c r="A527" s="58" t="inlineStr">
        <is>
          <t>перегородки - СП -</t>
        </is>
      </c>
      <c r="B527" s="45" t="n">
        <v>0.2</v>
      </c>
      <c r="C527" s="45" t="n"/>
      <c r="D527" s="46" t="n"/>
      <c r="E527" s="16">
        <f>$F$1*B527</f>
        <v/>
      </c>
      <c r="G527" s="16" t="n">
        <v>100</v>
      </c>
      <c r="H527" s="16" t="n">
        <v>30</v>
      </c>
      <c r="I527" s="16">
        <f>IF('Сроки и стоимость'!$AM$44=TRUE,IF('Сроки и стоимость'!$B$88&lt;='Атлант, Великан'!G527,'Атлант, Великан'!B527+B529,B527+B530*MAX(0,_xlfn.CEILING.MATH(('Сроки и стоимость'!$B$88-'Атлант, Великан'!G527)/'Атлант, Великан'!H527))),0)</f>
        <v/>
      </c>
    </row>
    <row r="528">
      <c r="A528" s="59" t="n"/>
      <c r="B528" s="17" t="n"/>
      <c r="C528" s="17" t="n"/>
      <c r="D528" s="40" t="n"/>
    </row>
    <row r="529">
      <c r="A529" s="59" t="inlineStr">
        <is>
          <t>площадь перегородок до 100 м2 -</t>
        </is>
      </c>
      <c r="B529" s="17" t="n">
        <v>0</v>
      </c>
      <c r="C529" s="17" t="n"/>
      <c r="D529" s="40" t="n"/>
    </row>
    <row r="530" ht="15.75" customHeight="1" thickBot="1">
      <c r="A530" s="60" t="inlineStr">
        <is>
          <t>площадь перегородок от 100 м2 -</t>
        </is>
      </c>
      <c r="B530" s="55" t="n">
        <v>0.002</v>
      </c>
      <c r="C530" s="55" t="n"/>
      <c r="D530" s="50" t="inlineStr">
        <is>
          <t>за каждые 30 м2</t>
        </is>
      </c>
      <c r="E530" s="16">
        <f>$F$1*B530</f>
        <v/>
      </c>
    </row>
    <row r="531" ht="15.75" customHeight="1" thickBot="1"/>
    <row r="532">
      <c r="A532" s="58" t="inlineStr">
        <is>
          <t>перегородки - СП послойной сборки -</t>
        </is>
      </c>
      <c r="B532" s="45" t="n">
        <v>0.3</v>
      </c>
      <c r="C532" s="45" t="n"/>
      <c r="D532" s="46" t="n"/>
      <c r="E532" s="16">
        <f>$F$1*B532</f>
        <v/>
      </c>
      <c r="G532" s="16" t="n">
        <v>100</v>
      </c>
      <c r="H532" s="16" t="n">
        <v>30</v>
      </c>
      <c r="I532" s="16">
        <f>IF('Сроки и стоимость'!$AM$43=TRUE,IF('Сроки и стоимость'!$B$85&lt;='Атлант, Великан'!G532,'Атлант, Великан'!B532+B534,B532+B535*MAX(0,_xlfn.CEILING.MATH(('Сроки и стоимость'!$B$85-'Атлант, Великан'!G532)/'Атлант, Великан'!H532))),0)</f>
        <v/>
      </c>
    </row>
    <row r="533">
      <c r="A533" s="59" t="n"/>
      <c r="B533" s="17" t="n"/>
      <c r="C533" s="17" t="n"/>
      <c r="D533" s="40" t="n"/>
    </row>
    <row r="534">
      <c r="A534" s="59" t="inlineStr">
        <is>
          <t>площадь перегородок до 100 м2 -</t>
        </is>
      </c>
      <c r="B534" s="17" t="n">
        <v>0</v>
      </c>
      <c r="C534" s="17" t="n"/>
      <c r="D534" s="40" t="n"/>
    </row>
    <row r="535" ht="15.75" customHeight="1" thickBot="1">
      <c r="A535" s="60" t="inlineStr">
        <is>
          <t>площадь перегородок от 100 м2 -</t>
        </is>
      </c>
      <c r="B535" s="55" t="n">
        <v>0.003</v>
      </c>
      <c r="C535" s="55" t="n"/>
      <c r="D535" s="50" t="inlineStr">
        <is>
          <t>за каждые 30 м2</t>
        </is>
      </c>
      <c r="E535" s="16">
        <f>$F$1*B535</f>
        <v/>
      </c>
    </row>
    <row r="536" ht="15.75" customHeight="1" thickBot="1"/>
    <row r="537">
      <c r="A537" s="58" t="inlineStr">
        <is>
          <t>перегородки - ГВЛ -</t>
        </is>
      </c>
      <c r="B537" s="45" t="n">
        <v>0.2</v>
      </c>
      <c r="C537" s="45" t="n"/>
      <c r="D537" s="46" t="n"/>
      <c r="E537" s="16">
        <f>$F$1*B537</f>
        <v/>
      </c>
      <c r="G537" s="16" t="n">
        <v>100</v>
      </c>
      <c r="H537" s="16" t="n">
        <v>30</v>
      </c>
      <c r="I537" s="16">
        <f>IF('Сроки и стоимость'!AM270=TRUE,0,IF('Сроки и стоимость'!$AM$42=TRUE,IF('Сроки и стоимость'!$B$81&lt;='Атлант, Великан'!G537,'Атлант, Великан'!B537+B539,B537+B540*MAX(0,_xlfn.CEILING.MATH(('Сроки и стоимость'!$B$81-'Атлант, Великан'!G537)/'Атлант, Великан'!H537))),0))</f>
        <v/>
      </c>
    </row>
    <row r="538">
      <c r="A538" s="59" t="n"/>
      <c r="B538" s="17" t="n"/>
      <c r="C538" s="17" t="n"/>
      <c r="D538" s="40" t="n"/>
    </row>
    <row r="539">
      <c r="A539" s="59" t="inlineStr">
        <is>
          <t>площадь перегородок до 100 м2 -</t>
        </is>
      </c>
      <c r="B539" s="17" t="n">
        <v>0</v>
      </c>
      <c r="C539" s="17" t="n"/>
      <c r="D539" s="40" t="n"/>
    </row>
    <row r="540" ht="15.75" customHeight="1" thickBot="1">
      <c r="A540" s="60" t="inlineStr">
        <is>
          <t>площадь перегородок от 100 м2 -</t>
        </is>
      </c>
      <c r="B540" s="55" t="n">
        <v>0.001</v>
      </c>
      <c r="C540" s="55" t="n"/>
      <c r="D540" s="50" t="inlineStr">
        <is>
          <t>за каждые 30 м2</t>
        </is>
      </c>
      <c r="E540" s="16">
        <f>$F$1*B540</f>
        <v/>
      </c>
    </row>
    <row r="541" ht="15.75" customHeight="1" thickBot="1"/>
    <row r="542">
      <c r="A542" s="58" t="inlineStr">
        <is>
          <t xml:space="preserve">наличие водосточной системы - </t>
        </is>
      </c>
      <c r="B542" s="45" t="n">
        <v>0.25</v>
      </c>
      <c r="C542" s="45" t="n"/>
      <c r="D542" s="46" t="n"/>
      <c r="E542" s="16">
        <f>$F$1*B542</f>
        <v/>
      </c>
    </row>
    <row r="543">
      <c r="A543" s="59" t="n"/>
      <c r="B543" s="17" t="n"/>
      <c r="C543" s="17" t="n"/>
      <c r="D543" s="40" t="n"/>
    </row>
    <row r="544">
      <c r="A544" s="59" t="inlineStr">
        <is>
          <t>наличие ограждения кровли -</t>
        </is>
      </c>
      <c r="B544" s="17" t="n">
        <v>0.05</v>
      </c>
      <c r="C544" s="17" t="n"/>
      <c r="D544" s="40" t="n"/>
      <c r="E544" s="16">
        <f>$F$1*B544</f>
        <v/>
      </c>
    </row>
    <row r="545">
      <c r="A545" s="59" t="n"/>
      <c r="B545" s="17" t="n"/>
      <c r="C545" s="17" t="n"/>
      <c r="D545" s="40" t="n"/>
    </row>
    <row r="546" ht="15.75" customHeight="1" thickBot="1">
      <c r="A546" s="60" t="inlineStr">
        <is>
          <t>наличие снегозадержания -</t>
        </is>
      </c>
      <c r="B546" s="55" t="n">
        <v>0.05</v>
      </c>
      <c r="C546" s="55" t="n"/>
      <c r="D546" s="50" t="n"/>
      <c r="E546" s="16">
        <f>$F$1*B546</f>
        <v/>
      </c>
    </row>
  </sheetData>
  <mergeCells count="1">
    <mergeCell ref="A299:D30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Q77"/>
  <sheetViews>
    <sheetView topLeftCell="A55" workbookViewId="0">
      <selection activeCell="D81" sqref="D81"/>
    </sheetView>
  </sheetViews>
  <sheetFormatPr baseColWidth="8" defaultRowHeight="15"/>
  <cols>
    <col width="66.7109375" bestFit="1" customWidth="1" style="16" min="1" max="1"/>
    <col width="9.140625" customWidth="1" style="16" min="2" max="2"/>
    <col width="15.85546875" customWidth="1" style="16" min="3" max="3"/>
    <col width="9.140625" customWidth="1" style="16" min="4" max="6"/>
    <col width="10.28515625" customWidth="1" style="16" min="7" max="7"/>
    <col width="9.140625" customWidth="1" style="16" min="8" max="16"/>
    <col width="91.28515625" bestFit="1" customWidth="1" style="16" min="17" max="17"/>
    <col width="9.140625" customWidth="1" style="16" min="18" max="16384"/>
  </cols>
  <sheetData>
    <row r="1" ht="15.75" customHeight="1" thickBot="1"/>
    <row r="2" ht="15.75" customHeight="1" thickBot="1">
      <c r="A2" s="11" t="inlineStr">
        <is>
          <t>спринт-М двускатный каркас КМ - базовая стомость 80 000 руб</t>
        </is>
      </c>
      <c r="B2" s="61" t="n">
        <v>1</v>
      </c>
      <c r="C2" s="62" t="n"/>
      <c r="D2" s="153" t="n">
        <v>80</v>
      </c>
    </row>
    <row r="3" ht="15.75" customHeight="1" thickBot="1">
      <c r="G3" s="16" t="n">
        <v>1</v>
      </c>
    </row>
    <row r="4">
      <c r="A4" s="18" t="inlineStr">
        <is>
          <t xml:space="preserve">пролет до 12 вкл - </t>
        </is>
      </c>
      <c r="B4" s="19" t="n">
        <v>0</v>
      </c>
      <c r="C4" s="20" t="n"/>
      <c r="D4" s="16">
        <f>$D$2*B4</f>
        <v/>
      </c>
      <c r="E4" s="16">
        <f>D4+80</f>
        <v/>
      </c>
      <c r="F4" s="16" t="n">
        <v>12</v>
      </c>
      <c r="G4" s="16">
        <f>IF('Сроки и стоимость'!$B$35&lt;=Спринт!$F4,Спринт!$B4,0)</f>
        <v/>
      </c>
    </row>
    <row r="5">
      <c r="A5" s="21" t="inlineStr">
        <is>
          <t xml:space="preserve">пролет от 12 до 15 вкл - </t>
        </is>
      </c>
      <c r="B5" s="16" t="n">
        <v>0.15</v>
      </c>
      <c r="C5" s="22" t="n"/>
      <c r="D5" s="16">
        <f>$D$2*B5</f>
        <v/>
      </c>
      <c r="E5" s="63">
        <f>D5+80</f>
        <v/>
      </c>
      <c r="F5" s="16" t="n">
        <v>15</v>
      </c>
      <c r="G5" s="16">
        <f>IF(AND('Сроки и стоимость'!$B$35&lt;=Спринт!$F5,'Сроки и стоимость'!$B$35&gt;$F4),Спринт!$B5,0)</f>
        <v/>
      </c>
      <c r="Q5" s="16" t="inlineStr">
        <is>
          <t>за доп гор. связи</t>
        </is>
      </c>
    </row>
    <row r="6">
      <c r="A6" s="21" t="inlineStr">
        <is>
          <t xml:space="preserve">пролет от 15 до 18 вкл - </t>
        </is>
      </c>
      <c r="B6" s="16" t="n">
        <v>0.25</v>
      </c>
      <c r="C6" s="22" t="n"/>
      <c r="D6" s="16">
        <f>$D$2*B6</f>
        <v/>
      </c>
      <c r="E6" s="63">
        <f>D6+80</f>
        <v/>
      </c>
      <c r="F6" s="16" t="n">
        <v>18</v>
      </c>
      <c r="G6" s="16">
        <f>IF(AND('Сроки и стоимость'!$B$35&lt;=Спринт!$F6,'Сроки и стоимость'!$B$35&gt;$F5),Спринт!$B6,0)</f>
        <v/>
      </c>
      <c r="Q6" s="16" t="inlineStr">
        <is>
          <t>за доп гор. связи</t>
        </is>
      </c>
    </row>
    <row r="7">
      <c r="A7" s="21" t="inlineStr">
        <is>
          <t xml:space="preserve">пролет от 18 до 21 вкл - </t>
        </is>
      </c>
      <c r="B7" s="16" t="n">
        <v>0.35</v>
      </c>
      <c r="C7" s="22" t="n"/>
      <c r="D7" s="16">
        <f>$D$2*B7</f>
        <v/>
      </c>
      <c r="E7" s="16">
        <f>D7+80</f>
        <v/>
      </c>
      <c r="F7" s="16" t="n">
        <v>21</v>
      </c>
      <c r="G7" s="16">
        <f>IF(AND('Сроки и стоимость'!$B$35&lt;=Спринт!$F7,'Сроки и стоимость'!$B$35&gt;$F6),Спринт!$B7,0)</f>
        <v/>
      </c>
      <c r="Q7" s="16" t="inlineStr">
        <is>
          <t>за доп гор. связи</t>
        </is>
      </c>
    </row>
    <row r="8">
      <c r="A8" s="21" t="inlineStr">
        <is>
          <t xml:space="preserve">пролет от 21 до 24 вкл - </t>
        </is>
      </c>
      <c r="B8" s="16" t="n">
        <v>0.5</v>
      </c>
      <c r="C8" s="22" t="n"/>
      <c r="D8" s="16">
        <f>$D$2*B8</f>
        <v/>
      </c>
      <c r="E8" s="16">
        <f>D8+80</f>
        <v/>
      </c>
      <c r="F8" s="16" t="n">
        <v>24</v>
      </c>
      <c r="G8" s="16">
        <f>IF(AND('Сроки и стоимость'!$B$35&lt;=Спринт!$F8,'Сроки и стоимость'!$B$35&gt;$F7),Спринт!$B8,IF('Сроки и стоимость'!$B$35&gt;$F8,999,0))</f>
        <v/>
      </c>
      <c r="H8" s="16">
        <f>SUM(G4:G8)</f>
        <v/>
      </c>
      <c r="Q8" s="16" t="inlineStr">
        <is>
          <t>за доп гор. связи</t>
        </is>
      </c>
    </row>
    <row r="9">
      <c r="A9" s="21" t="n"/>
      <c r="C9" s="22" t="n"/>
    </row>
    <row r="10">
      <c r="A10" s="21" t="inlineStr">
        <is>
          <t>высота до 6 вкл -</t>
        </is>
      </c>
      <c r="B10" s="16" t="n">
        <v>0</v>
      </c>
      <c r="C10" s="22" t="n"/>
      <c r="D10" s="16">
        <f>$D$2*B10</f>
        <v/>
      </c>
      <c r="E10" s="16">
        <f>D10+80</f>
        <v/>
      </c>
      <c r="F10" s="16" t="n">
        <v>6</v>
      </c>
      <c r="G10" s="16">
        <f>IF('Сроки и стоимость'!$F$43&lt;=F10,B10,0)</f>
        <v/>
      </c>
    </row>
    <row r="11">
      <c r="A11" s="21" t="inlineStr">
        <is>
          <t xml:space="preserve">высота от 6 до 8 вкл - </t>
        </is>
      </c>
      <c r="B11" s="16" t="n">
        <v>0.15</v>
      </c>
      <c r="C11" s="22" t="n"/>
      <c r="D11" s="16">
        <f>$D$2*B11</f>
        <v/>
      </c>
      <c r="E11" s="16">
        <f>D11+80</f>
        <v/>
      </c>
      <c r="F11" s="16" t="n">
        <v>8</v>
      </c>
      <c r="G11" s="16">
        <f>IF(AND('Сроки и стоимость'!$F$43&gt;F10,'Сроки и стоимость'!$F$43&lt;=F11),B11,0)</f>
        <v/>
      </c>
      <c r="Q11" s="16" t="inlineStr">
        <is>
          <t>за доп вертикальные связи по длиной стороне</t>
        </is>
      </c>
    </row>
    <row r="12" ht="15.75" customHeight="1" thickBot="1">
      <c r="A12" s="23" t="inlineStr">
        <is>
          <t xml:space="preserve">высота от 8 - </t>
        </is>
      </c>
      <c r="B12" s="28" t="n">
        <v>0.6</v>
      </c>
      <c r="C12" s="25" t="n"/>
      <c r="D12" s="16">
        <f>$D$2*B12</f>
        <v/>
      </c>
      <c r="E12" s="16">
        <f>D12+80</f>
        <v/>
      </c>
      <c r="G12" s="16">
        <f>IF('Сроки и стоимость'!$F$43&gt;F11,B12,0)</f>
        <v/>
      </c>
      <c r="H12" s="16">
        <f>SUM(G10:G12)</f>
        <v/>
      </c>
      <c r="Q12" s="16" t="inlineStr">
        <is>
          <t>за доп вертикальные связи по длиной стороне + в торце + гор. связи по периметру</t>
        </is>
      </c>
    </row>
    <row r="13" ht="15.75" customHeight="1" thickBot="1"/>
    <row r="14" ht="15.75" customHeight="1" thickBot="1">
      <c r="A14" s="11" t="inlineStr">
        <is>
          <t xml:space="preserve">спринт-2М двускатный каркас КМ - </t>
        </is>
      </c>
      <c r="B14" s="13" t="n">
        <v>1.2</v>
      </c>
      <c r="C14" s="30" t="n"/>
      <c r="D14" s="16">
        <f>$D$2*B14</f>
        <v/>
      </c>
      <c r="Q14" s="16" t="inlineStr">
        <is>
          <t xml:space="preserve"> + шпренгельная затяжка +0,15</t>
        </is>
      </c>
    </row>
    <row r="15" ht="15.75" customHeight="1" thickBot="1">
      <c r="G15" s="16" t="n">
        <v>1</v>
      </c>
    </row>
    <row r="16">
      <c r="A16" s="18" t="inlineStr">
        <is>
          <t xml:space="preserve">пролет до 12 вкл - </t>
        </is>
      </c>
      <c r="B16" s="19" t="n">
        <v>0</v>
      </c>
      <c r="C16" s="20" t="n"/>
      <c r="D16" s="16">
        <f>$D$2*B16</f>
        <v/>
      </c>
      <c r="E16" s="16">
        <f>D16+$D$14</f>
        <v/>
      </c>
      <c r="F16" s="16" t="n">
        <v>12</v>
      </c>
      <c r="G16" s="16">
        <f>IF('Сроки и стоимость'!$B$35&lt;=Спринт!$F16,Спринт!$B16,0)</f>
        <v/>
      </c>
    </row>
    <row r="17">
      <c r="A17" s="21" t="inlineStr">
        <is>
          <t xml:space="preserve">пролет от 12 до 15 вкл - </t>
        </is>
      </c>
      <c r="B17" s="16" t="n">
        <v>0.25</v>
      </c>
      <c r="C17" s="22" t="n"/>
      <c r="D17" s="16">
        <f>$D$2*B17</f>
        <v/>
      </c>
      <c r="E17" s="16">
        <f>D17+$D$14</f>
        <v/>
      </c>
      <c r="F17" s="16" t="n">
        <v>15</v>
      </c>
      <c r="G17" s="16">
        <f>IF(AND('Сроки и стоимость'!$B$35&lt;=Спринт!$F17,'Сроки и стоимость'!$B$35&gt;$F16),Спринт!$B17,0)</f>
        <v/>
      </c>
      <c r="Q17" s="16" t="inlineStr">
        <is>
          <t>за доп гор. связи + шпренгельная затяжка +0,1</t>
        </is>
      </c>
    </row>
    <row r="18">
      <c r="A18" s="21" t="inlineStr">
        <is>
          <t xml:space="preserve">пролет от 15 до 18 вкл - </t>
        </is>
      </c>
      <c r="B18" s="16" t="n">
        <v>0.4</v>
      </c>
      <c r="C18" s="22" t="n"/>
      <c r="D18" s="16">
        <f>$D$2*B18</f>
        <v/>
      </c>
      <c r="E18" s="16">
        <f>D18+$D$14</f>
        <v/>
      </c>
      <c r="F18" s="16" t="n">
        <v>18</v>
      </c>
      <c r="G18" s="16">
        <f>IF(AND('Сроки и стоимость'!$B$35&lt;=Спринт!$F18,'Сроки и стоимость'!$B$35&gt;$F17),Спринт!$B18,0)</f>
        <v/>
      </c>
      <c r="Q18" s="16" t="inlineStr">
        <is>
          <t>за доп гор. связи + шпренгельная затяжка +0,15</t>
        </is>
      </c>
    </row>
    <row r="19">
      <c r="A19" s="21" t="inlineStr">
        <is>
          <t xml:space="preserve">пролет от 18 до 21 вкл - </t>
        </is>
      </c>
      <c r="B19" s="16" t="n">
        <v>0.55</v>
      </c>
      <c r="C19" s="22" t="n"/>
      <c r="D19" s="16">
        <f>$D$2*B19</f>
        <v/>
      </c>
      <c r="E19" s="16">
        <f>D19+$D$14</f>
        <v/>
      </c>
      <c r="F19" s="16" t="n">
        <v>21</v>
      </c>
      <c r="G19" s="16">
        <f>IF(AND('Сроки и стоимость'!$B$35&lt;=Спринт!$F19,'Сроки и стоимость'!$B$35&gt;$F18),Спринт!$B19,0)</f>
        <v/>
      </c>
      <c r="Q19" s="16" t="inlineStr">
        <is>
          <t>за доп гор. связи + шпренгельная затяжка +0,2</t>
        </is>
      </c>
    </row>
    <row r="20">
      <c r="A20" s="21" t="inlineStr">
        <is>
          <t xml:space="preserve">пролет от 21 до 24 вкл - </t>
        </is>
      </c>
      <c r="B20" s="16" t="n">
        <v>0.7</v>
      </c>
      <c r="C20" s="22" t="n"/>
      <c r="D20" s="16">
        <f>$D$2*B20</f>
        <v/>
      </c>
      <c r="E20" s="16">
        <f>D20+$D$14</f>
        <v/>
      </c>
      <c r="F20" s="16" t="n">
        <v>24</v>
      </c>
      <c r="G20" s="16">
        <f>IF(AND('Сроки и стоимость'!$B$35&lt;=Спринт!$F20,'Сроки и стоимость'!$B$35&gt;$F19),Спринт!$B20,IF('Сроки и стоимость'!$B$35&gt;$F20,999,0))</f>
        <v/>
      </c>
      <c r="H20" s="16">
        <f>SUM(G16:G20)</f>
        <v/>
      </c>
      <c r="Q20" s="16" t="inlineStr">
        <is>
          <t>за доп гор. связи + шпренгельная затяжка +0,2</t>
        </is>
      </c>
    </row>
    <row r="21">
      <c r="A21" s="21" t="n"/>
      <c r="C21" s="22" t="n"/>
    </row>
    <row r="22">
      <c r="A22" s="21" t="inlineStr">
        <is>
          <t>высота до 5 вкл -</t>
        </is>
      </c>
      <c r="B22" s="16" t="n">
        <v>0</v>
      </c>
      <c r="C22" s="22" t="n"/>
      <c r="D22" s="16">
        <f>$D$2*B22</f>
        <v/>
      </c>
      <c r="E22" s="16">
        <f>D22+$D$14</f>
        <v/>
      </c>
      <c r="F22" s="16" t="n">
        <v>5</v>
      </c>
      <c r="G22" s="16">
        <f>IF('Сроки и стоимость'!$F$43&lt;=F22,B22,0)</f>
        <v/>
      </c>
    </row>
    <row r="23">
      <c r="A23" s="21" t="inlineStr">
        <is>
          <t xml:space="preserve">высота от 5 до 8 вкл - </t>
        </is>
      </c>
      <c r="B23" s="16" t="n">
        <v>0.15</v>
      </c>
      <c r="C23" s="22" t="n"/>
      <c r="D23" s="16">
        <f>$D$2*B23</f>
        <v/>
      </c>
      <c r="E23" s="16">
        <f>D23+$D$14</f>
        <v/>
      </c>
      <c r="F23" s="16" t="n">
        <v>8</v>
      </c>
      <c r="G23" s="16">
        <f>IF(AND('Сроки и стоимость'!$F$43&gt;F22,'Сроки и стоимость'!$F$43&lt;=F23),B23,0)</f>
        <v/>
      </c>
      <c r="Q23" s="16" t="inlineStr">
        <is>
          <t>за доп вертикальные связи по длиной стороне</t>
        </is>
      </c>
    </row>
    <row r="24" ht="15.75" customHeight="1" thickBot="1">
      <c r="A24" s="23" t="inlineStr">
        <is>
          <t xml:space="preserve">высота от 8 - </t>
        </is>
      </c>
      <c r="B24" s="28" t="n">
        <v>0.6</v>
      </c>
      <c r="C24" s="25" t="n"/>
      <c r="D24" s="16">
        <f>$D$2*B24</f>
        <v/>
      </c>
      <c r="E24" s="16">
        <f>D24+$D$14</f>
        <v/>
      </c>
      <c r="G24" s="16">
        <f>IF('Сроки и стоимость'!$F$43&gt;F23,B24,0)</f>
        <v/>
      </c>
      <c r="H24" s="16">
        <f>SUM(G22:G24)</f>
        <v/>
      </c>
      <c r="Q24" s="16" t="inlineStr">
        <is>
          <t>за доп вертикальные связи по длиной стороне + в торце + гор. связи по периметру</t>
        </is>
      </c>
    </row>
    <row r="25" ht="15.75" customHeight="1" thickBot="1"/>
    <row r="26" ht="15.75" customHeight="1" thickBot="1">
      <c r="A26" s="11" t="inlineStr">
        <is>
          <t xml:space="preserve">Крон двускатный каркас КМ - </t>
        </is>
      </c>
      <c r="B26" s="13" t="n">
        <v>1.3</v>
      </c>
      <c r="C26" s="30" t="n"/>
      <c r="D26" s="16">
        <f>$D$2*B26</f>
        <v/>
      </c>
      <c r="Q26" s="16" t="inlineStr">
        <is>
          <t>сборка без планина рамы +0,8</t>
        </is>
      </c>
    </row>
    <row r="27" ht="15.75" customHeight="1" thickBot="1">
      <c r="G27" s="16" t="n">
        <v>1</v>
      </c>
    </row>
    <row r="28">
      <c r="A28" s="18" t="inlineStr">
        <is>
          <t xml:space="preserve">пролет до 12 вкл - </t>
        </is>
      </c>
      <c r="B28" s="19" t="n">
        <v>0</v>
      </c>
      <c r="C28" s="20" t="n"/>
      <c r="D28" s="16">
        <f>$D$2*B28</f>
        <v/>
      </c>
      <c r="E28" s="16">
        <f>D28+$D$26</f>
        <v/>
      </c>
      <c r="F28" s="16" t="n">
        <v>12</v>
      </c>
      <c r="G28" s="16">
        <f>IF('Сроки и стоимость'!$B$35&lt;=Спринт!$F28,Спринт!$B28,0)</f>
        <v/>
      </c>
    </row>
    <row r="29">
      <c r="A29" s="21" t="inlineStr">
        <is>
          <t xml:space="preserve">пролет от 12 до 18 вкл - </t>
        </is>
      </c>
      <c r="B29" s="16" t="n">
        <v>0.4</v>
      </c>
      <c r="C29" s="22" t="n"/>
      <c r="D29" s="16">
        <f>$D$2*B29</f>
        <v/>
      </c>
      <c r="E29" s="16">
        <f>D29+$D$26</f>
        <v/>
      </c>
      <c r="F29" s="16" t="n">
        <v>18</v>
      </c>
      <c r="G29" s="16">
        <f>IF(AND('Сроки и стоимость'!$B$35&lt;=Спринт!$F29,'Сроки и стоимость'!$B$35&gt;$F28),Спринт!$B29,0)</f>
        <v/>
      </c>
      <c r="Q29" s="16" t="inlineStr">
        <is>
          <t>за доп гор. связи + усложнение фермы</t>
        </is>
      </c>
    </row>
    <row r="30">
      <c r="A30" s="21" t="inlineStr">
        <is>
          <t xml:space="preserve">пролет от 18 до 21 вкл - </t>
        </is>
      </c>
      <c r="B30" s="16" t="n">
        <v>0.8</v>
      </c>
      <c r="C30" s="22" t="n"/>
      <c r="D30" s="16">
        <f>$D$2*B30</f>
        <v/>
      </c>
      <c r="E30" s="16">
        <f>D30+$D$26</f>
        <v/>
      </c>
      <c r="F30" s="16" t="n">
        <v>21</v>
      </c>
      <c r="G30" s="16">
        <f>IF(AND('Сроки и стоимость'!$B$35&lt;=Спринт!$F30,'Сроки и стоимость'!$B$35&gt;$F29),Спринт!$B30,0)</f>
        <v/>
      </c>
      <c r="Q30" s="16" t="inlineStr">
        <is>
          <t>за доп гор. связи + усложнение фермы</t>
        </is>
      </c>
    </row>
    <row r="31">
      <c r="A31" s="21" t="inlineStr">
        <is>
          <t xml:space="preserve">пролет от 21 до 24 вкл - </t>
        </is>
      </c>
      <c r="B31" s="16" t="n">
        <v>1.2</v>
      </c>
      <c r="C31" s="22" t="n"/>
      <c r="D31" s="16">
        <f>$D$2*B31</f>
        <v/>
      </c>
      <c r="E31" s="16">
        <f>D31+$D$26</f>
        <v/>
      </c>
      <c r="F31" s="16" t="n">
        <v>24</v>
      </c>
      <c r="G31" s="16">
        <f>IF(AND('Сроки и стоимость'!$B$35&lt;=Спринт!$F31,'Сроки и стоимость'!$B$35&gt;$F30),Спринт!$B31,0)</f>
        <v/>
      </c>
      <c r="Q31" s="16" t="inlineStr">
        <is>
          <t>за доп гор. связи + усложнение фермы</t>
        </is>
      </c>
    </row>
    <row r="32">
      <c r="A32" s="21" t="inlineStr">
        <is>
          <t xml:space="preserve">пролет от 24 до 30 вкл - </t>
        </is>
      </c>
      <c r="B32" s="16" t="n">
        <v>1.6</v>
      </c>
      <c r="C32" s="22" t="n"/>
      <c r="D32" s="16">
        <f>$D$2*B32</f>
        <v/>
      </c>
      <c r="E32" s="16">
        <f>D32+$D$26</f>
        <v/>
      </c>
      <c r="F32" s="16" t="n">
        <v>30</v>
      </c>
      <c r="G32" s="16">
        <f>IF(AND('Сроки и стоимость'!$B$35&lt;=Спринт!$F32,'Сроки и стоимость'!$B$35&gt;$F31),Спринт!$B32,IF('Сроки и стоимость'!$B$35&gt;$F32,999,0))</f>
        <v/>
      </c>
      <c r="H32" s="16">
        <f>SUM(G28:G32)</f>
        <v/>
      </c>
      <c r="Q32" s="16" t="inlineStr">
        <is>
          <t>за доп гор. связи + усложнение фермы</t>
        </is>
      </c>
    </row>
    <row r="33">
      <c r="A33" s="21" t="n"/>
      <c r="C33" s="22" t="n"/>
    </row>
    <row r="34">
      <c r="A34" s="21" t="inlineStr">
        <is>
          <t>высота до 5 вкл -</t>
        </is>
      </c>
      <c r="B34" s="16" t="n">
        <v>0</v>
      </c>
      <c r="C34" s="22" t="n"/>
      <c r="D34" s="16">
        <f>$D$2*B34</f>
        <v/>
      </c>
      <c r="E34" s="16">
        <f>D34+$D$14</f>
        <v/>
      </c>
      <c r="F34" s="16" t="n">
        <v>5</v>
      </c>
      <c r="G34" s="16">
        <f>IF('Сроки и стоимость'!$F$43&lt;=F34,B34,0)</f>
        <v/>
      </c>
    </row>
    <row r="35">
      <c r="A35" s="21" t="inlineStr">
        <is>
          <t xml:space="preserve">высота от 5 до 7 вкл - </t>
        </is>
      </c>
      <c r="B35" s="16" t="n">
        <v>0.15</v>
      </c>
      <c r="C35" s="22" t="n"/>
      <c r="D35" s="16">
        <f>$D$2*B35</f>
        <v/>
      </c>
      <c r="E35" s="16">
        <f>D35+$D$14</f>
        <v/>
      </c>
      <c r="F35" s="16" t="n">
        <v>7</v>
      </c>
      <c r="G35" s="16">
        <f>IF(AND('Сроки и стоимость'!$F$43&gt;F34,'Сроки и стоимость'!$F$43&lt;=F35),B35,0)</f>
        <v/>
      </c>
      <c r="Q35" s="16" t="inlineStr">
        <is>
          <t>за доп вертикальные связи по длиной стороне</t>
        </is>
      </c>
    </row>
    <row r="36" ht="15.75" customHeight="1" thickBot="1">
      <c r="A36" s="23" t="inlineStr">
        <is>
          <t xml:space="preserve">высота от 7 - </t>
        </is>
      </c>
      <c r="B36" s="28" t="n">
        <v>0.6</v>
      </c>
      <c r="C36" s="25" t="n"/>
      <c r="D36" s="16">
        <f>$D$2*B36</f>
        <v/>
      </c>
      <c r="E36" s="16">
        <f>D36+$D$14</f>
        <v/>
      </c>
      <c r="G36" s="16">
        <f>IF('Сроки и стоимость'!$F$43&gt;F35,B36,0)</f>
        <v/>
      </c>
      <c r="H36" s="16">
        <f>SUM(G34:G36)</f>
        <v/>
      </c>
      <c r="Q36" s="16" t="inlineStr">
        <is>
          <t>за доп вертикальные связи по длиной стороне + в торце + гор. связи по периметру</t>
        </is>
      </c>
    </row>
    <row r="37" ht="15.75" customHeight="1" thickBot="1"/>
    <row r="38" ht="15.75" customHeight="1" thickBot="1">
      <c r="A38" s="29" t="inlineStr">
        <is>
          <t xml:space="preserve">спринт-М односкатный каркас КМ - </t>
        </is>
      </c>
      <c r="B38" s="13" t="n">
        <v>1.05</v>
      </c>
      <c r="C38" s="30" t="n"/>
      <c r="D38" s="16">
        <f>$D$2*B38</f>
        <v/>
      </c>
      <c r="Q38" s="16" t="inlineStr">
        <is>
          <t>отсутствие затяжки -0,2, но сборка без плагина рамы +0,1 + разные вертикальные связи +0,15</t>
        </is>
      </c>
    </row>
    <row r="39" ht="15.75" customHeight="1" thickBot="1">
      <c r="G39" s="16" t="n">
        <v>1</v>
      </c>
    </row>
    <row r="40">
      <c r="A40" s="18" t="inlineStr">
        <is>
          <t xml:space="preserve">пролет до 6 вкл - </t>
        </is>
      </c>
      <c r="B40" s="19" t="n">
        <v>0</v>
      </c>
      <c r="C40" s="20" t="n"/>
      <c r="D40" s="16">
        <f>$D$2*B40</f>
        <v/>
      </c>
      <c r="E40" s="16">
        <f>D40+$D$38</f>
        <v/>
      </c>
      <c r="F40" s="16" t="n">
        <v>6</v>
      </c>
      <c r="G40" s="16">
        <f>IF('Сроки и стоимость'!$B$35&lt;=Спринт!$F40,Спринт!$B40,0)</f>
        <v/>
      </c>
    </row>
    <row r="41">
      <c r="A41" s="21" t="inlineStr">
        <is>
          <t xml:space="preserve">пролет от 6 до 7,5 вкл - </t>
        </is>
      </c>
      <c r="B41" s="16" t="n">
        <v>0.05</v>
      </c>
      <c r="C41" s="22" t="n"/>
      <c r="D41" s="16">
        <f>$D$2*B41</f>
        <v/>
      </c>
      <c r="E41" s="16">
        <f>D41+$D$38</f>
        <v/>
      </c>
      <c r="F41" s="16" t="n">
        <v>7.5</v>
      </c>
      <c r="G41" s="16">
        <f>IF(AND('Сроки и стоимость'!$B$35&lt;=Спринт!$F41,'Сроки и стоимость'!$B$35&gt;$F40),Спринт!$B41,0)</f>
        <v/>
      </c>
      <c r="Q41" s="16" t="inlineStr">
        <is>
          <t>за доп гор. связи</t>
        </is>
      </c>
    </row>
    <row r="42">
      <c r="A42" s="21" t="inlineStr">
        <is>
          <t xml:space="preserve">пролет от 7,5 до 9 вкл - </t>
        </is>
      </c>
      <c r="B42" s="16" t="n">
        <v>0.1</v>
      </c>
      <c r="C42" s="22" t="n"/>
      <c r="D42" s="16">
        <f>$D$2*B42</f>
        <v/>
      </c>
      <c r="E42" s="16">
        <f>D42+$D$38</f>
        <v/>
      </c>
      <c r="F42" s="16" t="n">
        <v>9</v>
      </c>
      <c r="G42" s="16">
        <f>IF(AND('Сроки и стоимость'!$B$35&lt;=Спринт!$F42,'Сроки и стоимость'!$B$35&gt;$F41),Спринт!$B42,0)</f>
        <v/>
      </c>
      <c r="Q42" s="16" t="inlineStr">
        <is>
          <t>за доп гор. связи</t>
        </is>
      </c>
    </row>
    <row r="43">
      <c r="A43" s="21" t="inlineStr">
        <is>
          <t xml:space="preserve">пролет от 9 до 10,5 вкл - </t>
        </is>
      </c>
      <c r="B43" s="16" t="n">
        <v>0.2</v>
      </c>
      <c r="C43" s="22" t="n"/>
      <c r="D43" s="16">
        <f>$D$2*B43</f>
        <v/>
      </c>
      <c r="E43" s="16">
        <f>D43+$D$38</f>
        <v/>
      </c>
      <c r="F43" s="16" t="n">
        <v>10.5</v>
      </c>
      <c r="G43" s="16">
        <f>IF(AND('Сроки и стоимость'!$B$35&lt;=Спринт!$F43,'Сроки и стоимость'!$B$35&gt;$F42),Спринт!$B43,0)</f>
        <v/>
      </c>
      <c r="Q43" s="16" t="inlineStr">
        <is>
          <t>за доп гор. связи</t>
        </is>
      </c>
    </row>
    <row r="44">
      <c r="A44" s="21" t="inlineStr">
        <is>
          <t xml:space="preserve">пролет от 10,5 до 12 вкл - </t>
        </is>
      </c>
      <c r="B44" s="16" t="n">
        <v>0.25</v>
      </c>
      <c r="C44" s="22" t="n"/>
      <c r="D44" s="16">
        <f>$D$2*B44</f>
        <v/>
      </c>
      <c r="E44" s="16">
        <f>D44+$D$38</f>
        <v/>
      </c>
      <c r="F44" s="16" t="n">
        <v>12</v>
      </c>
      <c r="G44" s="16">
        <f>IF(AND('Сроки и стоимость'!$B$35&lt;=Спринт!$F44,'Сроки и стоимость'!$B$35&gt;$F43),Спринт!$B44,IF('Сроки и стоимость'!$B$35&gt;$F44,0,0))</f>
        <v/>
      </c>
      <c r="H44" s="16">
        <f>SUM(G40:G44)</f>
        <v/>
      </c>
      <c r="Q44" s="16" t="inlineStr">
        <is>
          <t>за доп гор. связи</t>
        </is>
      </c>
    </row>
    <row r="45">
      <c r="A45" s="21" t="n"/>
      <c r="C45" s="22" t="n"/>
    </row>
    <row r="46">
      <c r="A46" s="21" t="inlineStr">
        <is>
          <t>высота до 5 вкл -</t>
        </is>
      </c>
      <c r="B46" s="16" t="n">
        <v>0</v>
      </c>
      <c r="C46" s="22" t="n"/>
      <c r="D46" s="16">
        <f>$D$2*B46</f>
        <v/>
      </c>
      <c r="E46" s="16">
        <f>D46+$D$38</f>
        <v/>
      </c>
      <c r="F46" s="16" t="n">
        <v>5</v>
      </c>
      <c r="G46" s="16">
        <f>IF('Сроки и стоимость'!$F$43&lt;=F46,B46,0)</f>
        <v/>
      </c>
    </row>
    <row r="47">
      <c r="A47" s="21" t="inlineStr">
        <is>
          <t xml:space="preserve">высота от 5 до 6 вкл - </t>
        </is>
      </c>
      <c r="B47" s="16" t="n">
        <v>0.15</v>
      </c>
      <c r="C47" s="22" t="n"/>
      <c r="D47" s="16">
        <f>$D$2*B47</f>
        <v/>
      </c>
      <c r="E47" s="16">
        <f>D47+$D$38</f>
        <v/>
      </c>
      <c r="F47" s="16" t="n">
        <v>6</v>
      </c>
      <c r="G47" s="16">
        <f>IF(AND('Сроки и стоимость'!$F$43&gt;F46,'Сроки и стоимость'!$F$43&lt;=F47),B47,0)</f>
        <v/>
      </c>
      <c r="Q47" s="16" t="inlineStr">
        <is>
          <t>за доп вертикальные связи по длиной стороне</t>
        </is>
      </c>
    </row>
    <row r="48" ht="15.75" customHeight="1" thickBot="1">
      <c r="A48" s="23" t="inlineStr">
        <is>
          <t xml:space="preserve">высота от 6 - </t>
        </is>
      </c>
      <c r="B48" s="28" t="n">
        <v>0.45</v>
      </c>
      <c r="C48" s="25" t="n"/>
      <c r="D48" s="16">
        <f>$D$2*B48</f>
        <v/>
      </c>
      <c r="E48" s="16">
        <f>D48+$D$38</f>
        <v/>
      </c>
      <c r="G48" s="16">
        <f>IF('Сроки и стоимость'!$F$43&gt;F47,B48,0)</f>
        <v/>
      </c>
      <c r="H48" s="16">
        <f>SUM(G46:G48)</f>
        <v/>
      </c>
      <c r="Q48" s="16" t="inlineStr">
        <is>
          <t>за доп вертикальные связи по длиной стороне + в торце + гор. связи по периметру</t>
        </is>
      </c>
    </row>
    <row r="49" ht="15.75" customHeight="1" thickBot="1"/>
    <row r="50" ht="15.75" customHeight="1" thickBot="1">
      <c r="A50" s="29" t="inlineStr">
        <is>
          <t xml:space="preserve">спринт-2М односкатный каркас КМ - </t>
        </is>
      </c>
      <c r="B50" s="13" t="n">
        <v>1.2</v>
      </c>
      <c r="C50" s="30" t="n"/>
      <c r="D50" s="16">
        <f>$D$2*B50</f>
        <v/>
      </c>
      <c r="Q50" s="16" t="inlineStr">
        <is>
          <t>сборка без планина рамы +0,1 + разные вертикальные связи +0,15 + шпренгельная затяжка +0,15</t>
        </is>
      </c>
    </row>
    <row r="51" ht="15.75" customHeight="1" thickBot="1">
      <c r="G51" s="16" t="n">
        <v>1</v>
      </c>
    </row>
    <row r="52">
      <c r="A52" s="18" t="inlineStr">
        <is>
          <t xml:space="preserve">пролет до 6 вкл - </t>
        </is>
      </c>
      <c r="B52" s="19" t="n">
        <v>0</v>
      </c>
      <c r="C52" s="20" t="n"/>
      <c r="D52" s="16">
        <f>$D$2*B52</f>
        <v/>
      </c>
      <c r="E52" s="16">
        <f>D52+$D$50</f>
        <v/>
      </c>
      <c r="F52" s="16" t="n">
        <v>6</v>
      </c>
      <c r="G52" s="16">
        <f>IF('Сроки и стоимость'!$B$35&lt;=Спринт!$F52,Спринт!$B52,0)</f>
        <v/>
      </c>
    </row>
    <row r="53">
      <c r="A53" s="21" t="inlineStr">
        <is>
          <t xml:space="preserve">пролет от 6 до 7,5 вкл - </t>
        </is>
      </c>
      <c r="B53" s="16" t="n">
        <v>0.05</v>
      </c>
      <c r="C53" s="22" t="n"/>
      <c r="D53" s="16">
        <f>$D$2*B53</f>
        <v/>
      </c>
      <c r="E53" s="16">
        <f>D53+$D$50</f>
        <v/>
      </c>
      <c r="F53" s="16" t="n">
        <v>7.5</v>
      </c>
      <c r="G53" s="16">
        <f>IF(AND('Сроки и стоимость'!$B$35&lt;=Спринт!$F53,'Сроки и стоимость'!$B$35&gt;$F52),Спринт!$B53,0)</f>
        <v/>
      </c>
      <c r="Q53" s="16" t="inlineStr">
        <is>
          <t>за доп гор. связи + шпренгельная затяжка +0,1</t>
        </is>
      </c>
    </row>
    <row r="54">
      <c r="A54" s="21" t="inlineStr">
        <is>
          <t xml:space="preserve">пролет от 7,5 до 9 вкл - </t>
        </is>
      </c>
      <c r="B54" s="16" t="n">
        <v>0.15</v>
      </c>
      <c r="C54" s="22" t="n"/>
      <c r="D54" s="16">
        <f>$D$2*B54</f>
        <v/>
      </c>
      <c r="E54" s="16">
        <f>D54+$D$50</f>
        <v/>
      </c>
      <c r="F54" s="16" t="n">
        <v>9</v>
      </c>
      <c r="G54" s="16">
        <f>IF(AND('Сроки и стоимость'!$B$35&lt;=Спринт!$F54,'Сроки и стоимость'!$B$35&gt;$F53),Спринт!$B54,0)</f>
        <v/>
      </c>
      <c r="Q54" s="16" t="inlineStr">
        <is>
          <t>за доп гор. связи + шпренгельная затяжка +0,1</t>
        </is>
      </c>
    </row>
    <row r="55">
      <c r="A55" s="21" t="inlineStr">
        <is>
          <t xml:space="preserve">пролет от 9 до 10,5 вкл - </t>
        </is>
      </c>
      <c r="B55" s="16" t="n">
        <v>0.3</v>
      </c>
      <c r="C55" s="22" t="n"/>
      <c r="D55" s="16">
        <f>$D$2*B55</f>
        <v/>
      </c>
      <c r="E55" s="16">
        <f>D55+$D$50</f>
        <v/>
      </c>
      <c r="F55" s="16" t="n">
        <v>10.5</v>
      </c>
      <c r="G55" s="16">
        <f>IF(AND('Сроки и стоимость'!$B$35&lt;=Спринт!$F55,'Сроки и стоимость'!$B$35&gt;$F54),Спринт!$B55,0)</f>
        <v/>
      </c>
      <c r="Q55" s="16" t="inlineStr">
        <is>
          <t>за доп гор. связи + шпренгельная затяжка +0,15</t>
        </is>
      </c>
    </row>
    <row r="56">
      <c r="A56" s="21" t="inlineStr">
        <is>
          <t xml:space="preserve">пролет от 10,5 до 12 вкл - </t>
        </is>
      </c>
      <c r="B56" s="16" t="n">
        <v>0.4</v>
      </c>
      <c r="C56" s="22" t="n"/>
      <c r="D56" s="16">
        <f>$D$2*B56</f>
        <v/>
      </c>
      <c r="E56" s="16">
        <f>D56+$D$50</f>
        <v/>
      </c>
      <c r="F56" s="16" t="n">
        <v>12</v>
      </c>
      <c r="G56" s="16">
        <f>IF(AND('Сроки и стоимость'!$B$35&lt;=Спринт!$F56,'Сроки и стоимость'!$B$35&gt;$F55),Спринт!$B56,IF('Сроки и стоимость'!$B$35&gt;$F56,0,0))</f>
        <v/>
      </c>
      <c r="H56" s="16">
        <f>SUM(G52:G56)</f>
        <v/>
      </c>
      <c r="Q56" s="16" t="inlineStr">
        <is>
          <t>за доп гор. связи + шпренгельная затяжка +0,2</t>
        </is>
      </c>
    </row>
    <row r="57">
      <c r="A57" s="21" t="n"/>
      <c r="C57" s="22" t="n"/>
    </row>
    <row r="58">
      <c r="A58" s="21" t="inlineStr">
        <is>
          <t>высота до 5 вкл -</t>
        </is>
      </c>
      <c r="B58" s="16" t="n">
        <v>0</v>
      </c>
      <c r="C58" s="22" t="n"/>
      <c r="D58" s="16">
        <f>$D$2*B58</f>
        <v/>
      </c>
      <c r="E58" s="16">
        <f>D58+$D$50</f>
        <v/>
      </c>
      <c r="F58" s="16" t="n">
        <v>5</v>
      </c>
      <c r="G58" s="16">
        <f>IF('Сроки и стоимость'!$F$43&lt;=F58,B58,0)</f>
        <v/>
      </c>
    </row>
    <row r="59">
      <c r="A59" s="21" t="inlineStr">
        <is>
          <t xml:space="preserve">высота от 5 до 7 вкл - </t>
        </is>
      </c>
      <c r="B59" s="16" t="n">
        <v>0.15</v>
      </c>
      <c r="C59" s="22" t="n"/>
      <c r="D59" s="16">
        <f>$D$2*B59</f>
        <v/>
      </c>
      <c r="E59" s="16">
        <f>D59+$D$50</f>
        <v/>
      </c>
      <c r="F59" s="16" t="n">
        <v>7</v>
      </c>
      <c r="G59" s="16">
        <f>IF(AND('Сроки и стоимость'!$F$43&gt;F58,'Сроки и стоимость'!$F$43&lt;=F59),B59,0)</f>
        <v/>
      </c>
      <c r="Q59" s="16" t="inlineStr">
        <is>
          <t>за доп вертикальные связи по длиной стороне</t>
        </is>
      </c>
    </row>
    <row r="60" ht="15.75" customHeight="1" thickBot="1">
      <c r="A60" s="23" t="inlineStr">
        <is>
          <t xml:space="preserve">высота от 6 - </t>
        </is>
      </c>
      <c r="B60" s="28" t="n">
        <v>0.45</v>
      </c>
      <c r="C60" s="25" t="n"/>
      <c r="D60" s="16">
        <f>$D$2*B60</f>
        <v/>
      </c>
      <c r="E60" s="16">
        <f>D60+$D$50</f>
        <v/>
      </c>
      <c r="G60" s="16">
        <f>IF('Сроки и стоимость'!$F$43&gt;F59,B60,0)</f>
        <v/>
      </c>
      <c r="H60" s="16">
        <f>SUM(G58:G60)</f>
        <v/>
      </c>
      <c r="Q60" s="16" t="inlineStr">
        <is>
          <t>за доп вертикальные связи по длиной стороне + в торце + гор. связи по периметру</t>
        </is>
      </c>
    </row>
    <row r="61" ht="15.75" customHeight="1" thickBot="1"/>
    <row r="62" ht="15.75" customHeight="1" thickBot="1">
      <c r="A62" s="29" t="inlineStr">
        <is>
          <t xml:space="preserve">Крон односкатный каркас КМ - </t>
        </is>
      </c>
      <c r="B62" s="13" t="n">
        <v>1.6</v>
      </c>
      <c r="C62" s="30" t="n"/>
      <c r="D62" s="16">
        <f>$D$2*B62</f>
        <v/>
      </c>
      <c r="Q62" s="16" t="inlineStr">
        <is>
          <t>сборка без планина рамы +0,8 + разные вертикальные связи +0,25</t>
        </is>
      </c>
    </row>
    <row r="63" ht="15.75" customHeight="1" thickBot="1">
      <c r="G63" s="16" t="n">
        <v>1</v>
      </c>
    </row>
    <row r="64">
      <c r="A64" s="18" t="inlineStr">
        <is>
          <t xml:space="preserve">пролет до 8 вкл - </t>
        </is>
      </c>
      <c r="B64" s="19" t="n">
        <v>0</v>
      </c>
      <c r="C64" s="20" t="n"/>
      <c r="D64" s="16">
        <f>$D$2*B64</f>
        <v/>
      </c>
      <c r="E64" s="16">
        <f>D64+$D$62</f>
        <v/>
      </c>
      <c r="F64" s="16" t="n">
        <v>8</v>
      </c>
      <c r="G64" s="16">
        <f>IF('Сроки и стоимость'!$B$35&lt;=Спринт!$F64,Спринт!$B64,0)</f>
        <v/>
      </c>
    </row>
    <row r="65">
      <c r="A65" s="21" t="inlineStr">
        <is>
          <t xml:space="preserve">пролет от 8 до 12 вкл - </t>
        </is>
      </c>
      <c r="B65" s="16" t="n">
        <v>0.5</v>
      </c>
      <c r="C65" s="22" t="n"/>
      <c r="D65" s="16">
        <f>$D$2*B65</f>
        <v/>
      </c>
      <c r="E65" s="16">
        <f>D65+$D$62</f>
        <v/>
      </c>
      <c r="F65" s="16" t="n">
        <v>12</v>
      </c>
      <c r="G65" s="16">
        <f>IF(AND('Сроки и стоимость'!$B$35&lt;=Спринт!$F65,'Сроки и стоимость'!$B$35&gt;$F64),Спринт!$B65,0)</f>
        <v/>
      </c>
      <c r="Q65" s="16" t="inlineStr">
        <is>
          <t>за доп гор. связи + усложнение фермы</t>
        </is>
      </c>
    </row>
    <row r="66">
      <c r="A66" s="21" t="inlineStr">
        <is>
          <t xml:space="preserve">пролет от 12 до 18 вкл - </t>
        </is>
      </c>
      <c r="B66" s="16" t="n">
        <v>1</v>
      </c>
      <c r="C66" s="22" t="n"/>
      <c r="D66" s="16">
        <f>$D$2*B66</f>
        <v/>
      </c>
      <c r="E66" s="16">
        <f>D66+$D$62</f>
        <v/>
      </c>
      <c r="F66" s="16" t="n">
        <v>18</v>
      </c>
      <c r="G66" s="16">
        <f>IF(AND('Сроки и стоимость'!$B$35&lt;=Спринт!$F66,'Сроки и стоимость'!$B$35&gt;$F65),Спринт!$B66,0)</f>
        <v/>
      </c>
      <c r="Q66" s="16" t="inlineStr">
        <is>
          <t>за доп гор. связи + усложнение фермы</t>
        </is>
      </c>
    </row>
    <row r="67">
      <c r="A67" s="21" t="inlineStr">
        <is>
          <t xml:space="preserve">пролет от 18 до 24 вкл - </t>
        </is>
      </c>
      <c r="B67" s="16" t="n">
        <v>1.5</v>
      </c>
      <c r="C67" s="22" t="n"/>
      <c r="D67" s="16">
        <f>$D$2*B67</f>
        <v/>
      </c>
      <c r="E67" s="16">
        <f>D67+$D$62</f>
        <v/>
      </c>
      <c r="F67" s="16" t="n">
        <v>24</v>
      </c>
      <c r="G67" s="16">
        <f>IF(AND('Сроки и стоимость'!$B$35&lt;=Спринт!$F67,'Сроки и стоимость'!$B$35&gt;$F66),Спринт!$B67,0)</f>
        <v/>
      </c>
      <c r="Q67" s="16" t="inlineStr">
        <is>
          <t>за доп гор. связи + усложнение фермы</t>
        </is>
      </c>
    </row>
    <row r="68">
      <c r="A68" s="21" t="inlineStr">
        <is>
          <t xml:space="preserve">пролет от 24 до 30 вкл - </t>
        </is>
      </c>
      <c r="B68" s="16" t="n">
        <v>2</v>
      </c>
      <c r="C68" s="22" t="n"/>
      <c r="D68" s="16">
        <f>$D$2*B68</f>
        <v/>
      </c>
      <c r="E68" s="16">
        <f>D68+$D$62</f>
        <v/>
      </c>
      <c r="F68" s="16" t="n">
        <v>30</v>
      </c>
      <c r="G68" s="16">
        <f>IF(AND('Сроки и стоимость'!$B$35&lt;=Спринт!$F68,'Сроки и стоимость'!$B$35&gt;$F67),Спринт!$B68,IF('Сроки и стоимость'!$B$35&gt;$F68,999,0))</f>
        <v/>
      </c>
      <c r="H68" s="16">
        <f>SUM(G64:G68)</f>
        <v/>
      </c>
      <c r="Q68" s="16" t="inlineStr">
        <is>
          <t>за доп гор. связи + усложнение фермы</t>
        </is>
      </c>
    </row>
    <row r="69">
      <c r="A69" s="21" t="n"/>
      <c r="C69" s="22" t="n"/>
    </row>
    <row r="70">
      <c r="A70" s="21" t="inlineStr">
        <is>
          <t>высота до 6 вкл -</t>
        </is>
      </c>
      <c r="B70" s="16" t="n">
        <v>0</v>
      </c>
      <c r="C70" s="22" t="n"/>
      <c r="D70" s="16">
        <f>$D$2*B70</f>
        <v/>
      </c>
      <c r="E70" s="16">
        <f>D70+$D$50</f>
        <v/>
      </c>
      <c r="F70" s="16" t="n">
        <v>6</v>
      </c>
      <c r="G70" s="16">
        <f>IF('Сроки и стоимость'!$F$43&lt;=F70,B70,0)</f>
        <v/>
      </c>
    </row>
    <row r="71">
      <c r="A71" s="21" t="inlineStr">
        <is>
          <t xml:space="preserve">высота от 6 до 8 вкл - </t>
        </is>
      </c>
      <c r="B71" s="16" t="n">
        <v>0.15</v>
      </c>
      <c r="C71" s="22" t="n"/>
      <c r="D71" s="16">
        <f>$D$2*B71</f>
        <v/>
      </c>
      <c r="E71" s="16">
        <f>D71+$D$50</f>
        <v/>
      </c>
      <c r="F71" s="16" t="n">
        <v>8</v>
      </c>
      <c r="G71" s="16">
        <f>IF(AND('Сроки и стоимость'!$F$43&gt;F70,'Сроки и стоимость'!$F$43&lt;=F71),B71,0)</f>
        <v/>
      </c>
      <c r="Q71" s="16" t="inlineStr">
        <is>
          <t>за доп вертикальные связи по длиной стороне</t>
        </is>
      </c>
    </row>
    <row r="72" ht="15.75" customHeight="1" thickBot="1">
      <c r="A72" s="23" t="inlineStr">
        <is>
          <t xml:space="preserve">высота от 8 - </t>
        </is>
      </c>
      <c r="B72" s="28" t="n">
        <v>0.6</v>
      </c>
      <c r="C72" s="25" t="n"/>
      <c r="D72" s="16">
        <f>$D$2*B72</f>
        <v/>
      </c>
      <c r="E72" s="16">
        <f>D72+$D$50</f>
        <v/>
      </c>
      <c r="G72" s="16">
        <f>IF('Сроки и стоимость'!$F$43&gt;F71,B72,0)</f>
        <v/>
      </c>
      <c r="H72" s="16">
        <f>SUM(G70:G72)</f>
        <v/>
      </c>
      <c r="Q72" s="16" t="inlineStr">
        <is>
          <t>за доп вертикальные связи по длиной стороне + в торце + гор. связи по периметру</t>
        </is>
      </c>
    </row>
    <row r="73" ht="15.75" customHeight="1" thickBot="1">
      <c r="F73" s="16" t="inlineStr">
        <is>
          <t>шагов</t>
        </is>
      </c>
    </row>
    <row r="74">
      <c r="A74" s="18" t="inlineStr">
        <is>
          <t xml:space="preserve">длина до 5 шагов рам - </t>
        </is>
      </c>
      <c r="B74" s="19" t="n">
        <v>0</v>
      </c>
      <c r="C74" s="20" t="n"/>
      <c r="D74" s="16">
        <f>$D$2*B74</f>
        <v/>
      </c>
      <c r="E74" s="16">
        <f>D74+$E$38</f>
        <v/>
      </c>
      <c r="F74" s="16" t="n">
        <v>5</v>
      </c>
      <c r="G74" s="16">
        <f>F74*'Сроки и стоимость'!$B$40</f>
        <v/>
      </c>
      <c r="H74" s="16">
        <f>IF('Сроки и стоимость'!$B$38&lt;=G75,B74,0)</f>
        <v/>
      </c>
    </row>
    <row r="75">
      <c r="A75" s="21" t="inlineStr">
        <is>
          <t>длина от 5 шагов рам -</t>
        </is>
      </c>
      <c r="B75" s="16" t="n">
        <v>0.035</v>
      </c>
      <c r="C75" s="22" t="inlineStr">
        <is>
          <t>за шаг</t>
        </is>
      </c>
      <c r="D75" s="16">
        <f>$D$2*B75</f>
        <v/>
      </c>
      <c r="E75" s="16">
        <f>D75+$E$38</f>
        <v/>
      </c>
      <c r="F75" s="16" t="n">
        <v>5</v>
      </c>
      <c r="G75" s="16">
        <f>F75*'Сроки и стоимость'!$B$40</f>
        <v/>
      </c>
      <c r="H75" s="16">
        <f>IF('Сроки и стоимость'!$B$38&gt;G75,B75*_xlfn.CEILING.MATH(('Сроки и стоимость'!$B$38-Спринт!G75)/'Сроки и стоимость'!$B$40),0)</f>
        <v/>
      </c>
    </row>
    <row r="76">
      <c r="A76" s="21" t="n"/>
      <c r="C76" s="22" t="n"/>
      <c r="G76" s="16" t="inlineStr">
        <is>
          <t>итого</t>
        </is>
      </c>
      <c r="H76" s="16">
        <f>SUM(H74:H75)</f>
        <v/>
      </c>
    </row>
    <row r="77" ht="15.75" customHeight="1" thickBot="1">
      <c r="A77" s="23" t="inlineStr">
        <is>
          <t>разный шаг рам</t>
        </is>
      </c>
      <c r="B77" s="28" t="n">
        <v>0.2</v>
      </c>
      <c r="C77" s="25" t="n"/>
    </row>
  </sheetData>
  <pageMargins left="0.25" right="0.25" top="0.75" bottom="0.75" header="0.3" footer="0.3"/>
  <pageSetup orientation="landscape" paperSize="9" scale="4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</dc:creator>
  <dcterms:created xsi:type="dcterms:W3CDTF">2015-06-05T18:19:34Z</dcterms:created>
  <dcterms:modified xsi:type="dcterms:W3CDTF">2026-06-09T11:48:58Z</dcterms:modified>
  <cp:lastModifiedBy>work</cp:lastModifiedBy>
  <cp:lastPrinted>2024-09-16T08:59:22Z</cp:lastPrinted>
</cp:coreProperties>
</file>